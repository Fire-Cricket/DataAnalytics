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4ee8b6fcf46b9fc/Documents/DataAnalytics/"/>
    </mc:Choice>
  </mc:AlternateContent>
  <xr:revisionPtr revIDLastSave="0" documentId="8_{8764F3B1-C7A3-4643-A5B2-CC06D0C76E7D}" xr6:coauthVersionLast="47" xr6:coauthVersionMax="47" xr10:uidLastSave="{00000000-0000-0000-0000-000000000000}"/>
  <bookViews>
    <workbookView xWindow="-108" yWindow="-108" windowWidth="23256" windowHeight="12456" activeTab="3" xr2:uid="{00000000-000D-0000-FFFF-FFFF00000000}"/>
  </bookViews>
  <sheets>
    <sheet name="Detail1" sheetId="4" r:id="rId1"/>
    <sheet name="Detail2" sheetId="5" r:id="rId2"/>
    <sheet name="Pivot Table" sheetId="3" r:id="rId3"/>
    <sheet name="Exercise" sheetId="2" r:id="rId4"/>
    <sheet name="Sales_Data" sheetId="1" r:id="rId5"/>
  </sheets>
  <calcPr calcId="191028"/>
  <pivotCaches>
    <pivotCache cacheId="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2" l="1"/>
  <c r="G23" i="1"/>
  <c r="G22" i="1"/>
</calcChain>
</file>

<file path=xl/sharedStrings.xml><?xml version="1.0" encoding="utf-8"?>
<sst xmlns="http://schemas.openxmlformats.org/spreadsheetml/2006/main" count="277" uniqueCount="68">
  <si>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</si>
  <si>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</si>
  <si>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</si>
  <si>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</si>
  <si>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</si>
  <si>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</si>
  <si>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</si>
  <si>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</si>
  <si>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</si>
  <si>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</si>
  <si>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</si>
  <si>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</si>
  <si>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</si>
  <si>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</si>
  <si>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</si>
  <si>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</si>
  <si>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</si>
  <si>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</si>
  <si>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</si>
  <si>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</si>
  <si>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</si>
  <si>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</si>
  <si>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</si>
  <si>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</si>
  <si>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</si>
  <si>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</si>
  <si>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</si>
  <si>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</si>
  <si>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</si>
  <si>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</si>
  <si>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</si>
  <si>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</si>
  <si>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</si>
  <si>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</si>
  <si>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</si>
  <si>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</si>
  <si>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</si>
  <si>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</si>
  <si>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</si>
  <si>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</si>
  <si>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</si>
  <si>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</si>
  <si>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</si>
  <si>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</si>
  <si>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</si>
  <si>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</si>
  <si>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</si>
  <si>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</si>
  <si>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</si>
  <si>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</si>
  <si>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</si>
  <si>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</si>
  <si>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</si>
  <si>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</si>
  <si>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</si>
  <si>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</si>
  <si>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</si>
  <si>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</si>
  <si>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Row Labels</t>
  </si>
  <si>
    <t>Sum of Customer_Rating</t>
  </si>
  <si>
    <t>Details for Average of Revenue</t>
  </si>
  <si>
    <t>I would let management know that west is performing the best and that they should see what is making it do so weell and use that for the other regions as well</t>
  </si>
  <si>
    <t>Sum</t>
  </si>
  <si>
    <t>So a lot of what factors into this is what region the sales rep is in. Also, what prodcut the sales rep is selling</t>
  </si>
  <si>
    <t>Min = South</t>
  </si>
  <si>
    <t>Max = West and North</t>
  </si>
  <si>
    <t>They may believe that the higher satisfaction rate just mean that that region is doing better</t>
  </si>
  <si>
    <t xml:space="preserve">It was intresting going through this lab, because it shows what people are really looking at. The numbers tell a story but how the numbers are presented tell a more accurate story. I believe it is important to look at context because its too easy to look at the bacis number and draw a conclusion. I understand however, how powerful this ability to use descriptive statistics is, it really gives a picture.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</si>
</sst>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3"/>
      <name val="Calibri"/>
      <family val="2"/>
      <scheme val="minor"/>
    </font>
    <font>
      <sz val="11"/>
      <color rgb="FF242424"/>
      <name val="Aptos Narrow"/>
      <charset val="1"/>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8">
    <xf numFmtId="0" fontId="0" fillId="0" borderId="0" xfId="0"/>
    <xf numFmtId="0" fontId="0" fillId="0" borderId="0" xfId="0" applyAlignment="1">
      <alignment horizontal="center"/>
    </xf>
    <xf numFmtId="0" fontId="1" fillId="0" borderId="1" xfId="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3" fillId="0" borderId="0" xfId="0" applyFont="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dan Worrobah" refreshedDate="46121.498119328702" createdVersion="8" refreshedVersion="8" minRefreshableVersion="3" recordCount="20" xr:uid="{2F47E323-7FAE-4F67-8C04-7C2133C9B420}">
  <cacheSource type="worksheet">
    <worksheetSource ref="A1:H21" sheet="Sales_Data"/>
  </cacheSource>
  <cacheFields count="8">
    <cacheField name="Order_ID" numFmtId="0">
      <sharedItems containsSemiMixedTypes="0" containsString="0" containsNumber="1" containsInteger="1" minValue="1001" maxValue="1020"/>
    </cacheField>
    <cacheField name="Region" numFmtId="0">
      <sharedItems count="4">
        <s v="North"/>
        <s v="South"/>
        <s v="East"/>
        <s v="West"/>
      </sharedItems>
    </cacheField>
    <cacheField name="Sales_Rep" numFmtId="0">
      <sharedItems count="4">
        <s v="Adams"/>
        <s v="Brown"/>
        <s v="Chen"/>
        <s v="Diaz"/>
      </sharedItems>
    </cacheField>
    <cacheField name="Product_Category" numFmtId="0">
      <sharedItems count="3">
        <s v="Electronics"/>
        <s v="Furniture"/>
        <s v="Office Supplies"/>
      </sharedItems>
    </cacheField>
    <cacheField name="Units_Sold" numFmtId="0">
      <sharedItems containsSemiMixedTypes="0" containsString="0" containsNumber="1" containsInteger="1" minValue="1" maxValue="30"/>
    </cacheField>
    <cacheField name="Unit_Price" numFmtId="0">
      <sharedItems containsSemiMixedTypes="0" containsString="0" containsNumber="1" containsInteger="1" minValue="21" maxValue="1200"/>
    </cacheField>
    <cacheField name="Revenue" numFmtId="0">
      <sharedItems containsSemiMixedTypes="0" containsString="0" containsNumber="1" containsInteger="1" minValue="330" maxValue="2700"/>
    </cacheField>
    <cacheField name="Customer_Rating" numFmtId="0">
      <sharedItems containsSemiMixedTypes="0" containsString="0" containsNumber="1" minValue="3.7" maxValue="4.900000000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n v="5"/>
    <n v="320"/>
    <n v="1600"/>
    <n v="4.5"/>
  </r>
  <r>
    <n v="1002"/>
    <x v="1"/>
    <x v="1"/>
    <x v="1"/>
    <n v="2"/>
    <n v="850"/>
    <n v="1700"/>
    <n v="4.2"/>
  </r>
  <r>
    <n v="1003"/>
    <x v="2"/>
    <x v="2"/>
    <x v="0"/>
    <n v="3"/>
    <n v="300"/>
    <n v="900"/>
    <n v="3.9"/>
  </r>
  <r>
    <n v="1004"/>
    <x v="3"/>
    <x v="3"/>
    <x v="2"/>
    <n v="20"/>
    <n v="25"/>
    <n v="500"/>
    <n v="4.7"/>
  </r>
  <r>
    <n v="1005"/>
    <x v="0"/>
    <x v="0"/>
    <x v="1"/>
    <n v="1"/>
    <n v="1200"/>
    <n v="1200"/>
    <n v="4.0999999999999996"/>
  </r>
  <r>
    <n v="1006"/>
    <x v="1"/>
    <x v="1"/>
    <x v="0"/>
    <n v="4"/>
    <n v="310"/>
    <n v="1240"/>
    <n v="3.8"/>
  </r>
  <r>
    <n v="1007"/>
    <x v="2"/>
    <x v="2"/>
    <x v="2"/>
    <n v="15"/>
    <n v="22"/>
    <n v="330"/>
    <n v="4.5999999999999996"/>
  </r>
  <r>
    <n v="1008"/>
    <x v="3"/>
    <x v="3"/>
    <x v="0"/>
    <n v="6"/>
    <n v="295"/>
    <n v="1770"/>
    <n v="4.4000000000000004"/>
  </r>
  <r>
    <n v="1009"/>
    <x v="0"/>
    <x v="0"/>
    <x v="2"/>
    <n v="18"/>
    <n v="24"/>
    <n v="432"/>
    <n v="4.8"/>
  </r>
  <r>
    <n v="1010"/>
    <x v="1"/>
    <x v="1"/>
    <x v="1"/>
    <n v="3"/>
    <n v="900"/>
    <n v="2700"/>
    <n v="4"/>
  </r>
  <r>
    <n v="1011"/>
    <x v="2"/>
    <x v="2"/>
    <x v="1"/>
    <n v="2"/>
    <n v="950"/>
    <n v="1900"/>
    <n v="4.3"/>
  </r>
  <r>
    <n v="1012"/>
    <x v="3"/>
    <x v="3"/>
    <x v="2"/>
    <n v="25"/>
    <n v="23"/>
    <n v="575"/>
    <n v="4.9000000000000004"/>
  </r>
  <r>
    <n v="1013"/>
    <x v="0"/>
    <x v="0"/>
    <x v="0"/>
    <n v="7"/>
    <n v="315"/>
    <n v="2205"/>
    <n v="4.2"/>
  </r>
  <r>
    <n v="1014"/>
    <x v="1"/>
    <x v="1"/>
    <x v="2"/>
    <n v="30"/>
    <n v="21"/>
    <n v="630"/>
    <n v="4.5999999999999996"/>
  </r>
  <r>
    <n v="1015"/>
    <x v="2"/>
    <x v="2"/>
    <x v="0"/>
    <n v="5"/>
    <n v="305"/>
    <n v="1525"/>
    <n v="4.0999999999999996"/>
  </r>
  <r>
    <n v="1016"/>
    <x v="3"/>
    <x v="3"/>
    <x v="1"/>
    <n v="2"/>
    <n v="980"/>
    <n v="1960"/>
    <n v="3.9"/>
  </r>
  <r>
    <n v="1017"/>
    <x v="0"/>
    <x v="0"/>
    <x v="2"/>
    <n v="22"/>
    <n v="24"/>
    <n v="528"/>
    <n v="4.7"/>
  </r>
  <r>
    <n v="1018"/>
    <x v="1"/>
    <x v="1"/>
    <x v="0"/>
    <n v="3"/>
    <n v="299"/>
    <n v="897"/>
    <n v="3.7"/>
  </r>
  <r>
    <n v="1019"/>
    <x v="2"/>
    <x v="2"/>
    <x v="2"/>
    <n v="19"/>
    <n v="23"/>
    <n v="437"/>
    <n v="4.5"/>
  </r>
  <r>
    <n v="1020"/>
    <x v="3"/>
    <x v="3"/>
    <x v="0"/>
    <n v="8"/>
    <n v="310"/>
    <n v="2480"/>
    <n v="4.4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13A10-25F7-47BD-A19B-8E513636ECAF}" name="PivotTable2" cacheId="7" applyNumberFormats="0" applyBorderFormats="0" applyFontFormats="0" applyPatternFormats="0" applyAlignmentFormats="0" applyWidthHeightFormats="1" dataCaption="Values" grandTotalCaption="Sum" updatedVersion="8" minRefreshableVersion="3" useAutoFormatting="1" itemPrintTitles="1" createdVersion="8" indent="0" outline="1" outlineData="1" multipleFieldFilters="0">
  <location ref="A3:B8" firstHeaderRow="1" firstDataRow="1" firstDataCol="1"/>
  <pivotFields count="8">
    <pivotField showAll="0"/>
    <pivotField axis="axisRow" showAll="0">
      <items count="5">
        <item x="2"/>
        <item x="0"/>
        <item x="1"/>
        <item x="3"/>
        <item t="default"/>
      </items>
    </pivotField>
    <pivotField showAll="0">
      <items count="5">
        <item x="0"/>
        <item x="1"/>
        <item x="2"/>
        <item x="3"/>
        <item t="default"/>
      </items>
    </pivotField>
    <pivotField showAll="0">
      <items count="4">
        <item x="0"/>
        <item x="1"/>
        <item x="2"/>
        <item t="default"/>
      </items>
    </pivotField>
    <pivotField showAll="0"/>
    <pivotField showAll="0"/>
    <pivotField showAll="0"/>
    <pivotField dataField="1" showAll="0"/>
  </pivotFields>
  <rowFields count="1">
    <field x="1"/>
  </rowFields>
  <rowItems count="5">
    <i>
      <x/>
    </i>
    <i>
      <x v="1"/>
    </i>
    <i>
      <x v="2"/>
    </i>
    <i>
      <x v="3"/>
    </i>
    <i t="grand">
      <x/>
    </i>
  </rowItems>
  <colItems count="1">
    <i/>
  </colItems>
  <dataFields count="1">
    <dataField name="Sum of Customer_Rating"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79401-5C63-4098-B73E-DB7FCD6CE22F}" name="Table1" displayName="Table1" ref="A3:H23" totalsRowShown="0">
  <autoFilter ref="A3:H23" xr:uid="{59A79401-5C63-4098-B73E-DB7FCD6CE22F}"/>
  <tableColumns count="8">
    <tableColumn id="1" xr3:uid="{3C13BDA3-B99F-4236-BBF0-6CB288A7480D}" name="Order_ID"/>
    <tableColumn id="2" xr3:uid="{C13B8658-112A-4F54-9429-EBFE56B8E6FA}" name="Region"/>
    <tableColumn id="3" xr3:uid="{1AE4E76D-609D-406A-9977-2D63EE941F20}" name="Sales_Rep"/>
    <tableColumn id="4" xr3:uid="{DAF8E406-B439-4455-8297-8CB8253CEF28}" name="Product_Category"/>
    <tableColumn id="5" xr3:uid="{E4086B4B-0901-4295-B1E9-03BA4D8879A0}" name="Units_Sold"/>
    <tableColumn id="6" xr3:uid="{079A2941-75D0-44E0-8CC8-E4C744219A34}" name="Unit_Price"/>
    <tableColumn id="7" xr3:uid="{3339B571-8192-4151-83D8-22031B566800}" name="Revenue"/>
    <tableColumn id="8" xr3:uid="{AB7035B0-8327-407E-A375-89A3877D3890}" name="Customer_Ratin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6DD8E0-8178-4D86-A20C-DF73F91D7BB9}" name="Table2" displayName="Table2" ref="A3:H23" totalsRowShown="0">
  <autoFilter ref="A3:H23" xr:uid="{AD6DD8E0-8178-4D86-A20C-DF73F91D7BB9}"/>
  <tableColumns count="8">
    <tableColumn id="1" xr3:uid="{EE4B89DB-EF90-414A-BDF9-4AF770618BA5}" name="Order_ID"/>
    <tableColumn id="2" xr3:uid="{36E9FD68-9720-49F4-A250-EEE49CE39DE4}" name="Region"/>
    <tableColumn id="3" xr3:uid="{FD7720A8-C062-40BF-AC2F-4CA20CEE83AD}" name="Sales_Rep"/>
    <tableColumn id="4" xr3:uid="{B27B0239-368F-464A-B254-2418EFEAFC39}" name="Product_Category"/>
    <tableColumn id="5" xr3:uid="{04AF8CDA-C5CE-4EAD-AEE9-3F7B4A167BAA}" name="Units_Sold"/>
    <tableColumn id="6" xr3:uid="{8BD11CE4-3E45-4C3B-AB75-F8BECD96AE26}" name="Unit_Price"/>
    <tableColumn id="7" xr3:uid="{77296D54-493F-4EB2-96E6-A63AEB848BDF}" name="Revenue"/>
    <tableColumn id="8" xr3:uid="{24EB3419-9266-403B-A649-4FB0F2BE0F60}" name="Customer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CC57-0FB0-48A0-92FB-C2A8D7E6FFE6}">
  <dimension ref="A1:H23"/>
  <sheetViews>
    <sheetView workbookViewId="0">
      <selection activeCell="A3" sqref="A3:H23"/>
    </sheetView>
  </sheetViews>
  <sheetFormatPr defaultRowHeight="14.4" x14ac:dyDescent="0.3"/>
  <cols>
    <col min="1" max="1" width="10.77734375" bestFit="1" customWidth="1"/>
    <col min="2" max="2" width="9" bestFit="1" customWidth="1"/>
    <col min="3" max="3" width="11.6640625" bestFit="1" customWidth="1"/>
    <col min="4" max="4" width="18.5546875" bestFit="1" customWidth="1"/>
    <col min="5" max="5" width="12.21875" bestFit="1" customWidth="1"/>
    <col min="6" max="6" width="11.88671875" bestFit="1" customWidth="1"/>
    <col min="7" max="7" width="10.5546875" bestFit="1" customWidth="1"/>
    <col min="8" max="8" width="17.77734375" bestFit="1" customWidth="1"/>
  </cols>
  <sheetData>
    <row r="1" spans="1:8" x14ac:dyDescent="0.3">
      <c r="A1" s="7" t="s">
        <v>60</v>
      </c>
    </row>
    <row r="3" spans="1:8" x14ac:dyDescent="0.3">
      <c r="A3" t="s">
        <v>0</v>
      </c>
      <c r="B3" t="s">
        <v>1</v>
      </c>
      <c r="C3" t="s">
        <v>2</v>
      </c>
      <c r="D3" t="s">
        <v>3</v>
      </c>
      <c r="E3" t="s">
        <v>4</v>
      </c>
      <c r="F3" t="s">
        <v>5</v>
      </c>
      <c r="G3" t="s">
        <v>6</v>
      </c>
      <c r="H3" t="s">
        <v>7</v>
      </c>
    </row>
    <row r="4" spans="1:8" x14ac:dyDescent="0.3">
      <c r="A4">
        <v>1003</v>
      </c>
      <c r="B4" t="s">
        <v>14</v>
      </c>
      <c r="C4" t="s">
        <v>15</v>
      </c>
      <c r="D4" t="s">
        <v>10</v>
      </c>
      <c r="E4">
        <v>3</v>
      </c>
      <c r="F4">
        <v>300</v>
      </c>
      <c r="G4">
        <v>900</v>
      </c>
      <c r="H4">
        <v>3.9</v>
      </c>
    </row>
    <row r="5" spans="1:8" x14ac:dyDescent="0.3">
      <c r="A5">
        <v>1007</v>
      </c>
      <c r="B5" t="s">
        <v>14</v>
      </c>
      <c r="C5" t="s">
        <v>15</v>
      </c>
      <c r="D5" t="s">
        <v>18</v>
      </c>
      <c r="E5">
        <v>15</v>
      </c>
      <c r="F5">
        <v>22</v>
      </c>
      <c r="G5">
        <v>330</v>
      </c>
      <c r="H5">
        <v>4.5999999999999996</v>
      </c>
    </row>
    <row r="6" spans="1:8" x14ac:dyDescent="0.3">
      <c r="A6">
        <v>1011</v>
      </c>
      <c r="B6" t="s">
        <v>14</v>
      </c>
      <c r="C6" t="s">
        <v>15</v>
      </c>
      <c r="D6" t="s">
        <v>13</v>
      </c>
      <c r="E6">
        <v>2</v>
      </c>
      <c r="F6">
        <v>950</v>
      </c>
      <c r="G6">
        <v>1900</v>
      </c>
      <c r="H6">
        <v>4.3</v>
      </c>
    </row>
    <row r="7" spans="1:8" x14ac:dyDescent="0.3">
      <c r="A7">
        <v>1015</v>
      </c>
      <c r="B7" t="s">
        <v>14</v>
      </c>
      <c r="C7" t="s">
        <v>15</v>
      </c>
      <c r="D7" t="s">
        <v>10</v>
      </c>
      <c r="E7">
        <v>5</v>
      </c>
      <c r="F7">
        <v>305</v>
      </c>
      <c r="G7">
        <v>1525</v>
      </c>
      <c r="H7">
        <v>4.0999999999999996</v>
      </c>
    </row>
    <row r="8" spans="1:8" x14ac:dyDescent="0.3">
      <c r="A8">
        <v>1019</v>
      </c>
      <c r="B8" t="s">
        <v>14</v>
      </c>
      <c r="C8" t="s">
        <v>15</v>
      </c>
      <c r="D8" t="s">
        <v>18</v>
      </c>
      <c r="E8">
        <v>19</v>
      </c>
      <c r="F8">
        <v>23</v>
      </c>
      <c r="G8">
        <v>437</v>
      </c>
      <c r="H8">
        <v>4.5</v>
      </c>
    </row>
    <row r="9" spans="1:8" x14ac:dyDescent="0.3">
      <c r="A9">
        <v>1001</v>
      </c>
      <c r="B9" t="s">
        <v>8</v>
      </c>
      <c r="C9" t="s">
        <v>9</v>
      </c>
      <c r="D9" t="s">
        <v>10</v>
      </c>
      <c r="E9">
        <v>5</v>
      </c>
      <c r="F9">
        <v>320</v>
      </c>
      <c r="G9">
        <v>1600</v>
      </c>
      <c r="H9">
        <v>4.5</v>
      </c>
    </row>
    <row r="10" spans="1:8" x14ac:dyDescent="0.3">
      <c r="A10">
        <v>1005</v>
      </c>
      <c r="B10" t="s">
        <v>8</v>
      </c>
      <c r="C10" t="s">
        <v>9</v>
      </c>
      <c r="D10" t="s">
        <v>13</v>
      </c>
      <c r="E10">
        <v>1</v>
      </c>
      <c r="F10">
        <v>1200</v>
      </c>
      <c r="G10">
        <v>1200</v>
      </c>
      <c r="H10">
        <v>4.0999999999999996</v>
      </c>
    </row>
    <row r="11" spans="1:8" x14ac:dyDescent="0.3">
      <c r="A11">
        <v>1009</v>
      </c>
      <c r="B11" t="s">
        <v>8</v>
      </c>
      <c r="C11" t="s">
        <v>9</v>
      </c>
      <c r="D11" t="s">
        <v>18</v>
      </c>
      <c r="E11">
        <v>18</v>
      </c>
      <c r="F11">
        <v>24</v>
      </c>
      <c r="G11">
        <v>432</v>
      </c>
      <c r="H11">
        <v>4.8</v>
      </c>
    </row>
    <row r="12" spans="1:8" x14ac:dyDescent="0.3">
      <c r="A12">
        <v>1013</v>
      </c>
      <c r="B12" t="s">
        <v>8</v>
      </c>
      <c r="C12" t="s">
        <v>9</v>
      </c>
      <c r="D12" t="s">
        <v>10</v>
      </c>
      <c r="E12">
        <v>7</v>
      </c>
      <c r="F12">
        <v>315</v>
      </c>
      <c r="G12">
        <v>2205</v>
      </c>
      <c r="H12">
        <v>4.2</v>
      </c>
    </row>
    <row r="13" spans="1:8" x14ac:dyDescent="0.3">
      <c r="A13">
        <v>1017</v>
      </c>
      <c r="B13" t="s">
        <v>8</v>
      </c>
      <c r="C13" t="s">
        <v>9</v>
      </c>
      <c r="D13" t="s">
        <v>18</v>
      </c>
      <c r="E13">
        <v>22</v>
      </c>
      <c r="F13">
        <v>24</v>
      </c>
      <c r="G13">
        <v>528</v>
      </c>
      <c r="H13">
        <v>4.7</v>
      </c>
    </row>
    <row r="14" spans="1:8" x14ac:dyDescent="0.3">
      <c r="A14">
        <v>1002</v>
      </c>
      <c r="B14" t="s">
        <v>11</v>
      </c>
      <c r="C14" t="s">
        <v>12</v>
      </c>
      <c r="D14" t="s">
        <v>13</v>
      </c>
      <c r="E14">
        <v>2</v>
      </c>
      <c r="F14">
        <v>850</v>
      </c>
      <c r="G14">
        <v>1700</v>
      </c>
      <c r="H14">
        <v>4.2</v>
      </c>
    </row>
    <row r="15" spans="1:8" x14ac:dyDescent="0.3">
      <c r="A15">
        <v>1006</v>
      </c>
      <c r="B15" t="s">
        <v>11</v>
      </c>
      <c r="C15" t="s">
        <v>12</v>
      </c>
      <c r="D15" t="s">
        <v>10</v>
      </c>
      <c r="E15">
        <v>4</v>
      </c>
      <c r="F15">
        <v>310</v>
      </c>
      <c r="G15">
        <v>1240</v>
      </c>
      <c r="H15">
        <v>3.8</v>
      </c>
    </row>
    <row r="16" spans="1:8" x14ac:dyDescent="0.3">
      <c r="A16">
        <v>1010</v>
      </c>
      <c r="B16" t="s">
        <v>11</v>
      </c>
      <c r="C16" t="s">
        <v>12</v>
      </c>
      <c r="D16" t="s">
        <v>13</v>
      </c>
      <c r="E16">
        <v>3</v>
      </c>
      <c r="F16">
        <v>900</v>
      </c>
      <c r="G16">
        <v>2700</v>
      </c>
      <c r="H16">
        <v>4</v>
      </c>
    </row>
    <row r="17" spans="1:8" x14ac:dyDescent="0.3">
      <c r="A17">
        <v>1014</v>
      </c>
      <c r="B17" t="s">
        <v>11</v>
      </c>
      <c r="C17" t="s">
        <v>12</v>
      </c>
      <c r="D17" t="s">
        <v>18</v>
      </c>
      <c r="E17">
        <v>30</v>
      </c>
      <c r="F17">
        <v>21</v>
      </c>
      <c r="G17">
        <v>630</v>
      </c>
      <c r="H17">
        <v>4.5999999999999996</v>
      </c>
    </row>
    <row r="18" spans="1:8" x14ac:dyDescent="0.3">
      <c r="A18">
        <v>1018</v>
      </c>
      <c r="B18" t="s">
        <v>11</v>
      </c>
      <c r="C18" t="s">
        <v>12</v>
      </c>
      <c r="D18" t="s">
        <v>10</v>
      </c>
      <c r="E18">
        <v>3</v>
      </c>
      <c r="F18">
        <v>299</v>
      </c>
      <c r="G18">
        <v>897</v>
      </c>
      <c r="H18">
        <v>3.7</v>
      </c>
    </row>
    <row r="19" spans="1:8" x14ac:dyDescent="0.3">
      <c r="A19">
        <v>1004</v>
      </c>
      <c r="B19" t="s">
        <v>16</v>
      </c>
      <c r="C19" t="s">
        <v>17</v>
      </c>
      <c r="D19" t="s">
        <v>18</v>
      </c>
      <c r="E19">
        <v>20</v>
      </c>
      <c r="F19">
        <v>25</v>
      </c>
      <c r="G19">
        <v>500</v>
      </c>
      <c r="H19">
        <v>4.7</v>
      </c>
    </row>
    <row r="20" spans="1:8" x14ac:dyDescent="0.3">
      <c r="A20">
        <v>1008</v>
      </c>
      <c r="B20" t="s">
        <v>16</v>
      </c>
      <c r="C20" t="s">
        <v>17</v>
      </c>
      <c r="D20" t="s">
        <v>10</v>
      </c>
      <c r="E20">
        <v>6</v>
      </c>
      <c r="F20">
        <v>295</v>
      </c>
      <c r="G20">
        <v>1770</v>
      </c>
      <c r="H20">
        <v>4.4000000000000004</v>
      </c>
    </row>
    <row r="21" spans="1:8" x14ac:dyDescent="0.3">
      <c r="A21">
        <v>1012</v>
      </c>
      <c r="B21" t="s">
        <v>16</v>
      </c>
      <c r="C21" t="s">
        <v>17</v>
      </c>
      <c r="D21" t="s">
        <v>18</v>
      </c>
      <c r="E21">
        <v>25</v>
      </c>
      <c r="F21">
        <v>23</v>
      </c>
      <c r="G21">
        <v>575</v>
      </c>
      <c r="H21">
        <v>4.9000000000000004</v>
      </c>
    </row>
    <row r="22" spans="1:8" x14ac:dyDescent="0.3">
      <c r="A22">
        <v>1016</v>
      </c>
      <c r="B22" t="s">
        <v>16</v>
      </c>
      <c r="C22" t="s">
        <v>17</v>
      </c>
      <c r="D22" t="s">
        <v>13</v>
      </c>
      <c r="E22">
        <v>2</v>
      </c>
      <c r="F22">
        <v>980</v>
      </c>
      <c r="G22">
        <v>1960</v>
      </c>
      <c r="H22">
        <v>3.9</v>
      </c>
    </row>
    <row r="23" spans="1:8" x14ac:dyDescent="0.3">
      <c r="A23">
        <v>1020</v>
      </c>
      <c r="B23" t="s">
        <v>16</v>
      </c>
      <c r="C23" t="s">
        <v>17</v>
      </c>
      <c r="D23" t="s">
        <v>10</v>
      </c>
      <c r="E23">
        <v>8</v>
      </c>
      <c r="F23">
        <v>310</v>
      </c>
      <c r="G23">
        <v>2480</v>
      </c>
      <c r="H23">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72DFA-B2BB-4874-934C-526F2002C34A}">
  <dimension ref="A1:H23"/>
  <sheetViews>
    <sheetView workbookViewId="0">
      <selection activeCell="D25" sqref="D25"/>
    </sheetView>
  </sheetViews>
  <sheetFormatPr defaultRowHeight="14.4" x14ac:dyDescent="0.3"/>
  <cols>
    <col min="1" max="1" width="10.77734375" bestFit="1" customWidth="1"/>
    <col min="2" max="2" width="9" bestFit="1" customWidth="1"/>
    <col min="3" max="3" width="11.6640625" bestFit="1" customWidth="1"/>
    <col min="4" max="4" width="18.5546875" bestFit="1" customWidth="1"/>
    <col min="5" max="5" width="12.21875" bestFit="1" customWidth="1"/>
    <col min="6" max="6" width="11.88671875" bestFit="1" customWidth="1"/>
    <col min="7" max="7" width="10.5546875" bestFit="1" customWidth="1"/>
    <col min="8" max="8" width="17.77734375" bestFit="1" customWidth="1"/>
  </cols>
  <sheetData>
    <row r="1" spans="1:8" x14ac:dyDescent="0.3">
      <c r="A1" s="7" t="s">
        <v>60</v>
      </c>
    </row>
    <row r="3" spans="1:8" x14ac:dyDescent="0.3">
      <c r="A3" t="s">
        <v>0</v>
      </c>
      <c r="B3" t="s">
        <v>1</v>
      </c>
      <c r="C3" t="s">
        <v>2</v>
      </c>
      <c r="D3" t="s">
        <v>3</v>
      </c>
      <c r="E3" t="s">
        <v>4</v>
      </c>
      <c r="F3" t="s">
        <v>5</v>
      </c>
      <c r="G3" t="s">
        <v>6</v>
      </c>
      <c r="H3" t="s">
        <v>7</v>
      </c>
    </row>
    <row r="4" spans="1:8" x14ac:dyDescent="0.3">
      <c r="A4">
        <v>1003</v>
      </c>
      <c r="B4" t="s">
        <v>14</v>
      </c>
      <c r="C4" t="s">
        <v>15</v>
      </c>
      <c r="D4" t="s">
        <v>10</v>
      </c>
      <c r="E4">
        <v>3</v>
      </c>
      <c r="F4">
        <v>300</v>
      </c>
      <c r="G4">
        <v>900</v>
      </c>
      <c r="H4">
        <v>3.9</v>
      </c>
    </row>
    <row r="5" spans="1:8" x14ac:dyDescent="0.3">
      <c r="A5">
        <v>1007</v>
      </c>
      <c r="B5" t="s">
        <v>14</v>
      </c>
      <c r="C5" t="s">
        <v>15</v>
      </c>
      <c r="D5" t="s">
        <v>18</v>
      </c>
      <c r="E5">
        <v>15</v>
      </c>
      <c r="F5">
        <v>22</v>
      </c>
      <c r="G5">
        <v>330</v>
      </c>
      <c r="H5">
        <v>4.5999999999999996</v>
      </c>
    </row>
    <row r="6" spans="1:8" x14ac:dyDescent="0.3">
      <c r="A6">
        <v>1011</v>
      </c>
      <c r="B6" t="s">
        <v>14</v>
      </c>
      <c r="C6" t="s">
        <v>15</v>
      </c>
      <c r="D6" t="s">
        <v>13</v>
      </c>
      <c r="E6">
        <v>2</v>
      </c>
      <c r="F6">
        <v>950</v>
      </c>
      <c r="G6">
        <v>1900</v>
      </c>
      <c r="H6">
        <v>4.3</v>
      </c>
    </row>
    <row r="7" spans="1:8" x14ac:dyDescent="0.3">
      <c r="A7">
        <v>1015</v>
      </c>
      <c r="B7" t="s">
        <v>14</v>
      </c>
      <c r="C7" t="s">
        <v>15</v>
      </c>
      <c r="D7" t="s">
        <v>10</v>
      </c>
      <c r="E7">
        <v>5</v>
      </c>
      <c r="F7">
        <v>305</v>
      </c>
      <c r="G7">
        <v>1525</v>
      </c>
      <c r="H7">
        <v>4.0999999999999996</v>
      </c>
    </row>
    <row r="8" spans="1:8" x14ac:dyDescent="0.3">
      <c r="A8">
        <v>1019</v>
      </c>
      <c r="B8" t="s">
        <v>14</v>
      </c>
      <c r="C8" t="s">
        <v>15</v>
      </c>
      <c r="D8" t="s">
        <v>18</v>
      </c>
      <c r="E8">
        <v>19</v>
      </c>
      <c r="F8">
        <v>23</v>
      </c>
      <c r="G8">
        <v>437</v>
      </c>
      <c r="H8">
        <v>4.5</v>
      </c>
    </row>
    <row r="9" spans="1:8" x14ac:dyDescent="0.3">
      <c r="A9">
        <v>1001</v>
      </c>
      <c r="B9" t="s">
        <v>8</v>
      </c>
      <c r="C9" t="s">
        <v>9</v>
      </c>
      <c r="D9" t="s">
        <v>10</v>
      </c>
      <c r="E9">
        <v>5</v>
      </c>
      <c r="F9">
        <v>320</v>
      </c>
      <c r="G9">
        <v>1600</v>
      </c>
      <c r="H9">
        <v>4.5</v>
      </c>
    </row>
    <row r="10" spans="1:8" x14ac:dyDescent="0.3">
      <c r="A10">
        <v>1005</v>
      </c>
      <c r="B10" t="s">
        <v>8</v>
      </c>
      <c r="C10" t="s">
        <v>9</v>
      </c>
      <c r="D10" t="s">
        <v>13</v>
      </c>
      <c r="E10">
        <v>1</v>
      </c>
      <c r="F10">
        <v>1200</v>
      </c>
      <c r="G10">
        <v>1200</v>
      </c>
      <c r="H10">
        <v>4.0999999999999996</v>
      </c>
    </row>
    <row r="11" spans="1:8" x14ac:dyDescent="0.3">
      <c r="A11">
        <v>1009</v>
      </c>
      <c r="B11" t="s">
        <v>8</v>
      </c>
      <c r="C11" t="s">
        <v>9</v>
      </c>
      <c r="D11" t="s">
        <v>18</v>
      </c>
      <c r="E11">
        <v>18</v>
      </c>
      <c r="F11">
        <v>24</v>
      </c>
      <c r="G11">
        <v>432</v>
      </c>
      <c r="H11">
        <v>4.8</v>
      </c>
    </row>
    <row r="12" spans="1:8" x14ac:dyDescent="0.3">
      <c r="A12">
        <v>1013</v>
      </c>
      <c r="B12" t="s">
        <v>8</v>
      </c>
      <c r="C12" t="s">
        <v>9</v>
      </c>
      <c r="D12" t="s">
        <v>10</v>
      </c>
      <c r="E12">
        <v>7</v>
      </c>
      <c r="F12">
        <v>315</v>
      </c>
      <c r="G12">
        <v>2205</v>
      </c>
      <c r="H12">
        <v>4.2</v>
      </c>
    </row>
    <row r="13" spans="1:8" x14ac:dyDescent="0.3">
      <c r="A13">
        <v>1017</v>
      </c>
      <c r="B13" t="s">
        <v>8</v>
      </c>
      <c r="C13" t="s">
        <v>9</v>
      </c>
      <c r="D13" t="s">
        <v>18</v>
      </c>
      <c r="E13">
        <v>22</v>
      </c>
      <c r="F13">
        <v>24</v>
      </c>
      <c r="G13">
        <v>528</v>
      </c>
      <c r="H13">
        <v>4.7</v>
      </c>
    </row>
    <row r="14" spans="1:8" x14ac:dyDescent="0.3">
      <c r="A14">
        <v>1002</v>
      </c>
      <c r="B14" t="s">
        <v>11</v>
      </c>
      <c r="C14" t="s">
        <v>12</v>
      </c>
      <c r="D14" t="s">
        <v>13</v>
      </c>
      <c r="E14">
        <v>2</v>
      </c>
      <c r="F14">
        <v>850</v>
      </c>
      <c r="G14">
        <v>1700</v>
      </c>
      <c r="H14">
        <v>4.2</v>
      </c>
    </row>
    <row r="15" spans="1:8" x14ac:dyDescent="0.3">
      <c r="A15">
        <v>1006</v>
      </c>
      <c r="B15" t="s">
        <v>11</v>
      </c>
      <c r="C15" t="s">
        <v>12</v>
      </c>
      <c r="D15" t="s">
        <v>10</v>
      </c>
      <c r="E15">
        <v>4</v>
      </c>
      <c r="F15">
        <v>310</v>
      </c>
      <c r="G15">
        <v>1240</v>
      </c>
      <c r="H15">
        <v>3.8</v>
      </c>
    </row>
    <row r="16" spans="1:8" x14ac:dyDescent="0.3">
      <c r="A16">
        <v>1010</v>
      </c>
      <c r="B16" t="s">
        <v>11</v>
      </c>
      <c r="C16" t="s">
        <v>12</v>
      </c>
      <c r="D16" t="s">
        <v>13</v>
      </c>
      <c r="E16">
        <v>3</v>
      </c>
      <c r="F16">
        <v>900</v>
      </c>
      <c r="G16">
        <v>2700</v>
      </c>
      <c r="H16">
        <v>4</v>
      </c>
    </row>
    <row r="17" spans="1:8" x14ac:dyDescent="0.3">
      <c r="A17">
        <v>1014</v>
      </c>
      <c r="B17" t="s">
        <v>11</v>
      </c>
      <c r="C17" t="s">
        <v>12</v>
      </c>
      <c r="D17" t="s">
        <v>18</v>
      </c>
      <c r="E17">
        <v>30</v>
      </c>
      <c r="F17">
        <v>21</v>
      </c>
      <c r="G17">
        <v>630</v>
      </c>
      <c r="H17">
        <v>4.5999999999999996</v>
      </c>
    </row>
    <row r="18" spans="1:8" x14ac:dyDescent="0.3">
      <c r="A18">
        <v>1018</v>
      </c>
      <c r="B18" t="s">
        <v>11</v>
      </c>
      <c r="C18" t="s">
        <v>12</v>
      </c>
      <c r="D18" t="s">
        <v>10</v>
      </c>
      <c r="E18">
        <v>3</v>
      </c>
      <c r="F18">
        <v>299</v>
      </c>
      <c r="G18">
        <v>897</v>
      </c>
      <c r="H18">
        <v>3.7</v>
      </c>
    </row>
    <row r="19" spans="1:8" x14ac:dyDescent="0.3">
      <c r="A19">
        <v>1004</v>
      </c>
      <c r="B19" t="s">
        <v>16</v>
      </c>
      <c r="C19" t="s">
        <v>17</v>
      </c>
      <c r="D19" t="s">
        <v>18</v>
      </c>
      <c r="E19">
        <v>20</v>
      </c>
      <c r="F19">
        <v>25</v>
      </c>
      <c r="G19">
        <v>500</v>
      </c>
      <c r="H19">
        <v>4.7</v>
      </c>
    </row>
    <row r="20" spans="1:8" x14ac:dyDescent="0.3">
      <c r="A20">
        <v>1008</v>
      </c>
      <c r="B20" t="s">
        <v>16</v>
      </c>
      <c r="C20" t="s">
        <v>17</v>
      </c>
      <c r="D20" t="s">
        <v>10</v>
      </c>
      <c r="E20">
        <v>6</v>
      </c>
      <c r="F20">
        <v>295</v>
      </c>
      <c r="G20">
        <v>1770</v>
      </c>
      <c r="H20">
        <v>4.4000000000000004</v>
      </c>
    </row>
    <row r="21" spans="1:8" x14ac:dyDescent="0.3">
      <c r="A21">
        <v>1012</v>
      </c>
      <c r="B21" t="s">
        <v>16</v>
      </c>
      <c r="C21" t="s">
        <v>17</v>
      </c>
      <c r="D21" t="s">
        <v>18</v>
      </c>
      <c r="E21">
        <v>25</v>
      </c>
      <c r="F21">
        <v>23</v>
      </c>
      <c r="G21">
        <v>575</v>
      </c>
      <c r="H21">
        <v>4.9000000000000004</v>
      </c>
    </row>
    <row r="22" spans="1:8" x14ac:dyDescent="0.3">
      <c r="A22">
        <v>1016</v>
      </c>
      <c r="B22" t="s">
        <v>16</v>
      </c>
      <c r="C22" t="s">
        <v>17</v>
      </c>
      <c r="D22" t="s">
        <v>13</v>
      </c>
      <c r="E22">
        <v>2</v>
      </c>
      <c r="F22">
        <v>980</v>
      </c>
      <c r="G22">
        <v>1960</v>
      </c>
      <c r="H22">
        <v>3.9</v>
      </c>
    </row>
    <row r="23" spans="1:8" x14ac:dyDescent="0.3">
      <c r="A23">
        <v>1020</v>
      </c>
      <c r="B23" t="s">
        <v>16</v>
      </c>
      <c r="C23" t="s">
        <v>17</v>
      </c>
      <c r="D23" t="s">
        <v>10</v>
      </c>
      <c r="E23">
        <v>8</v>
      </c>
      <c r="F23">
        <v>310</v>
      </c>
      <c r="G23">
        <v>2480</v>
      </c>
      <c r="H23">
        <v>4.4000000000000004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80F2-CB34-41AA-8D6E-09D1EF2ED5DF}">
  <dimension ref="A3:B8"/>
  <sheetViews>
    <sheetView workbookViewId="0">
      <selection activeCell="B7" sqref="B7"/>
    </sheetView>
  </sheetViews>
  <sheetFormatPr defaultRowHeight="14.4" x14ac:dyDescent="0.3"/>
  <cols>
    <col min="1" max="1" width="12.5546875" bestFit="1" customWidth="1"/>
    <col min="2" max="3" width="22.21875" bestFit="1" customWidth="1"/>
  </cols>
  <sheetData>
    <row r="3" spans="1:2" x14ac:dyDescent="0.3">
      <c r="A3" s="4" t="s">
        <v>58</v>
      </c>
      <c r="B3" t="s">
        <v>59</v>
      </c>
    </row>
    <row r="4" spans="1:2" x14ac:dyDescent="0.3">
      <c r="A4" s="5" t="s">
        <v>14</v>
      </c>
      <c r="B4" s="6">
        <v>21.4</v>
      </c>
    </row>
    <row r="5" spans="1:2" x14ac:dyDescent="0.3">
      <c r="A5" s="5" t="s">
        <v>8</v>
      </c>
      <c r="B5" s="6">
        <v>22.299999999999997</v>
      </c>
    </row>
    <row r="6" spans="1:2" x14ac:dyDescent="0.3">
      <c r="A6" s="5" t="s">
        <v>11</v>
      </c>
      <c r="B6" s="6">
        <v>20.3</v>
      </c>
    </row>
    <row r="7" spans="1:2" x14ac:dyDescent="0.3">
      <c r="A7" s="5" t="s">
        <v>16</v>
      </c>
      <c r="B7" s="6">
        <v>22.300000000000004</v>
      </c>
    </row>
    <row r="8" spans="1:2" x14ac:dyDescent="0.3">
      <c r="A8" s="5" t="s">
        <v>62</v>
      </c>
      <c r="B8" s="6">
        <v>86.300000000000011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tabSelected="1" topLeftCell="A22" workbookViewId="0">
      <selection activeCell="C47" sqref="C47"/>
    </sheetView>
  </sheetViews>
  <sheetFormatPr defaultRowHeight="14.4" x14ac:dyDescent="0.3"/>
  <cols>
    <col min="1" max="1" width="80.5546875" bestFit="1" customWidth="1"/>
    <col min="3" max="3" width="9.33203125" bestFit="1" customWidth="1"/>
  </cols>
  <sheetData>
    <row r="1" spans="1:3" x14ac:dyDescent="0.3">
      <c r="A1" t="s">
        <v>19</v>
      </c>
    </row>
    <row r="3" spans="1:3" x14ac:dyDescent="0.3">
      <c r="A3" t="s">
        <v>20</v>
      </c>
    </row>
    <row r="4" spans="1:3" x14ac:dyDescent="0.3">
      <c r="A4" t="s">
        <v>21</v>
      </c>
    </row>
    <row r="5" spans="1:3" x14ac:dyDescent="0.3">
      <c r="A5" t="s">
        <v>22</v>
      </c>
    </row>
    <row r="6" spans="1:3" x14ac:dyDescent="0.3">
      <c r="A6" t="s">
        <v>23</v>
      </c>
    </row>
    <row r="8" spans="1:3" x14ac:dyDescent="0.3">
      <c r="A8" t="s">
        <v>24</v>
      </c>
    </row>
    <row r="9" spans="1:3" x14ac:dyDescent="0.3">
      <c r="A9" t="s">
        <v>25</v>
      </c>
    </row>
    <row r="11" spans="1:3" x14ac:dyDescent="0.3">
      <c r="A11" t="s">
        <v>26</v>
      </c>
    </row>
    <row r="12" spans="1:3" x14ac:dyDescent="0.3">
      <c r="A12" t="s">
        <v>27</v>
      </c>
    </row>
    <row r="13" spans="1:3" x14ac:dyDescent="0.3">
      <c r="A13" t="s">
        <v>28</v>
      </c>
      <c r="C13">
        <v>1275.45</v>
      </c>
    </row>
    <row r="14" spans="1:3" x14ac:dyDescent="0.3">
      <c r="A14" t="s">
        <v>29</v>
      </c>
      <c r="C14">
        <v>1220</v>
      </c>
    </row>
    <row r="15" spans="1:3" x14ac:dyDescent="0.3">
      <c r="A15" t="s">
        <v>30</v>
      </c>
      <c r="C15">
        <v>432</v>
      </c>
    </row>
    <row r="16" spans="1:3" x14ac:dyDescent="0.3">
      <c r="A16" t="s">
        <v>31</v>
      </c>
      <c r="C16" s="3">
        <v>2700</v>
      </c>
    </row>
    <row r="17" spans="1:6" x14ac:dyDescent="0.3">
      <c r="A17" t="s">
        <v>32</v>
      </c>
      <c r="C17">
        <f>MAX(C16) - MIN(C15)</f>
        <v>2268</v>
      </c>
    </row>
    <row r="18" spans="1:6" x14ac:dyDescent="0.3">
      <c r="A18" t="s">
        <v>33</v>
      </c>
      <c r="C18">
        <v>723.26020000000005</v>
      </c>
    </row>
    <row r="20" spans="1:6" x14ac:dyDescent="0.3">
      <c r="A20" t="s">
        <v>34</v>
      </c>
    </row>
    <row r="22" spans="1:6" x14ac:dyDescent="0.3">
      <c r="A22" t="s">
        <v>35</v>
      </c>
    </row>
    <row r="23" spans="1:6" x14ac:dyDescent="0.3">
      <c r="A23" t="s">
        <v>36</v>
      </c>
      <c r="C23" t="s">
        <v>14</v>
      </c>
      <c r="D23" t="s">
        <v>16</v>
      </c>
      <c r="E23" t="s">
        <v>11</v>
      </c>
      <c r="F23" t="s">
        <v>8</v>
      </c>
    </row>
    <row r="24" spans="1:6" x14ac:dyDescent="0.3">
      <c r="A24" t="s">
        <v>37</v>
      </c>
      <c r="C24" s="6">
        <v>1018.4</v>
      </c>
      <c r="D24" s="6">
        <v>1457</v>
      </c>
      <c r="E24" s="6">
        <v>1433.4</v>
      </c>
      <c r="F24" s="6">
        <v>1193</v>
      </c>
    </row>
    <row r="25" spans="1:6" x14ac:dyDescent="0.3">
      <c r="A25" t="s">
        <v>38</v>
      </c>
      <c r="C25" t="s">
        <v>16</v>
      </c>
    </row>
    <row r="26" spans="1:6" x14ac:dyDescent="0.3">
      <c r="A26" t="s">
        <v>39</v>
      </c>
      <c r="C26" t="s">
        <v>61</v>
      </c>
    </row>
    <row r="28" spans="1:6" x14ac:dyDescent="0.3">
      <c r="A28" t="s">
        <v>40</v>
      </c>
    </row>
    <row r="29" spans="1:6" x14ac:dyDescent="0.3">
      <c r="A29" t="s">
        <v>41</v>
      </c>
      <c r="C29" s="5" t="s">
        <v>10</v>
      </c>
      <c r="D29" s="5" t="s">
        <v>13</v>
      </c>
      <c r="E29" s="5" t="s">
        <v>18</v>
      </c>
    </row>
    <row r="30" spans="1:6" x14ac:dyDescent="0.3">
      <c r="A30" t="s">
        <v>42</v>
      </c>
      <c r="C30" s="6">
        <v>1577.125</v>
      </c>
      <c r="D30" s="6">
        <v>1892</v>
      </c>
      <c r="E30" s="6">
        <v>490.28571428571428</v>
      </c>
    </row>
    <row r="31" spans="1:6" x14ac:dyDescent="0.3">
      <c r="A31" t="s">
        <v>43</v>
      </c>
      <c r="C31" t="s">
        <v>10</v>
      </c>
    </row>
    <row r="32" spans="1:6" x14ac:dyDescent="0.3">
      <c r="A32" t="s">
        <v>44</v>
      </c>
      <c r="C32" t="s">
        <v>18</v>
      </c>
    </row>
    <row r="34" spans="1:6" x14ac:dyDescent="0.3">
      <c r="A34" t="s">
        <v>45</v>
      </c>
    </row>
    <row r="35" spans="1:6" x14ac:dyDescent="0.3">
      <c r="A35" t="s">
        <v>46</v>
      </c>
      <c r="C35" s="5" t="s">
        <v>9</v>
      </c>
      <c r="D35" s="5" t="s">
        <v>12</v>
      </c>
      <c r="E35" s="5" t="s">
        <v>15</v>
      </c>
      <c r="F35" s="5" t="s">
        <v>17</v>
      </c>
    </row>
    <row r="36" spans="1:6" x14ac:dyDescent="0.3">
      <c r="A36" t="s">
        <v>47</v>
      </c>
      <c r="C36" s="6">
        <v>1193</v>
      </c>
      <c r="D36" s="6">
        <v>1433.4</v>
      </c>
      <c r="E36" s="6">
        <v>1018.4</v>
      </c>
      <c r="F36" s="6">
        <v>1457</v>
      </c>
    </row>
    <row r="37" spans="1:6" x14ac:dyDescent="0.3">
      <c r="A37" t="s">
        <v>48</v>
      </c>
      <c r="C37" t="s">
        <v>12</v>
      </c>
    </row>
    <row r="38" spans="1:6" x14ac:dyDescent="0.3">
      <c r="A38" t="s">
        <v>49</v>
      </c>
      <c r="C38" t="s">
        <v>63</v>
      </c>
    </row>
    <row r="40" spans="1:6" x14ac:dyDescent="0.3">
      <c r="A40" t="s">
        <v>50</v>
      </c>
    </row>
    <row r="41" spans="1:6" x14ac:dyDescent="0.3">
      <c r="A41" t="s">
        <v>51</v>
      </c>
      <c r="C41" t="s">
        <v>14</v>
      </c>
      <c r="D41" t="s">
        <v>16</v>
      </c>
      <c r="E41" t="s">
        <v>8</v>
      </c>
      <c r="F41" t="s">
        <v>11</v>
      </c>
    </row>
    <row r="42" spans="1:6" x14ac:dyDescent="0.3">
      <c r="A42" t="s">
        <v>52</v>
      </c>
      <c r="C42" s="6">
        <v>21.4</v>
      </c>
      <c r="D42" s="6">
        <v>22.300000000000004</v>
      </c>
      <c r="E42" s="6">
        <v>22.299999999999997</v>
      </c>
      <c r="F42" s="6">
        <v>20.3</v>
      </c>
    </row>
    <row r="43" spans="1:6" x14ac:dyDescent="0.3">
      <c r="A43" t="s">
        <v>53</v>
      </c>
      <c r="C43" t="s">
        <v>64</v>
      </c>
      <c r="D43" t="s">
        <v>65</v>
      </c>
    </row>
    <row r="44" spans="1:6" x14ac:dyDescent="0.3">
      <c r="A44" t="s">
        <v>54</v>
      </c>
      <c r="C44" t="s">
        <v>66</v>
      </c>
    </row>
    <row r="46" spans="1:6" x14ac:dyDescent="0.3">
      <c r="A46" t="s">
        <v>55</v>
      </c>
    </row>
    <row r="47" spans="1:6" x14ac:dyDescent="0.3">
      <c r="A47" t="s">
        <v>56</v>
      </c>
      <c r="C47" t="s">
        <v>67</v>
      </c>
    </row>
    <row r="48" spans="1:6" x14ac:dyDescent="0.3">
      <c r="A48" t="s">
        <v>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A2" sqref="A2:H21"/>
    </sheetView>
  </sheetViews>
  <sheetFormatPr defaultRowHeight="14.4" x14ac:dyDescent="0.3"/>
  <cols>
    <col min="1" max="1" width="9" bestFit="1" customWidth="1"/>
    <col min="2" max="2" width="7.109375" bestFit="1" customWidth="1"/>
    <col min="4" max="4" width="16.88671875" bestFit="1" customWidth="1"/>
    <col min="5" max="5" width="10.44140625" bestFit="1" customWidth="1"/>
    <col min="6" max="6" width="10.109375" bestFit="1" customWidth="1"/>
    <col min="7" max="7" width="8.88671875" bestFit="1" customWidth="1"/>
    <col min="8" max="8" width="16.33203125" bestFit="1" customWidth="1"/>
  </cols>
  <sheetData>
    <row r="1" spans="1:8" ht="24" customHeight="1" thickBot="1" x14ac:dyDescent="0.35">
      <c r="A1" s="2" t="s">
        <v>0</v>
      </c>
      <c r="B1" s="2" t="s">
        <v>1</v>
      </c>
      <c r="C1" s="2" t="s">
        <v>2</v>
      </c>
      <c r="D1" s="2" t="s">
        <v>3</v>
      </c>
      <c r="E1" s="2" t="s">
        <v>4</v>
      </c>
      <c r="F1" s="2" t="s">
        <v>5</v>
      </c>
      <c r="G1" s="2" t="s">
        <v>6</v>
      </c>
      <c r="H1" s="2" t="s">
        <v>7</v>
      </c>
    </row>
    <row r="2" spans="1:8" x14ac:dyDescent="0.3">
      <c r="A2" s="1">
        <v>1001</v>
      </c>
      <c r="B2" t="s">
        <v>8</v>
      </c>
      <c r="C2" t="s">
        <v>9</v>
      </c>
      <c r="D2" t="s">
        <v>10</v>
      </c>
      <c r="E2" s="1">
        <v>5</v>
      </c>
      <c r="F2">
        <v>320</v>
      </c>
      <c r="G2">
        <v>1600</v>
      </c>
      <c r="H2" s="1">
        <v>4.5</v>
      </c>
    </row>
    <row r="3" spans="1:8" x14ac:dyDescent="0.3">
      <c r="A3" s="1">
        <v>1002</v>
      </c>
      <c r="B3" t="s">
        <v>11</v>
      </c>
      <c r="C3" t="s">
        <v>12</v>
      </c>
      <c r="D3" t="s">
        <v>13</v>
      </c>
      <c r="E3" s="1">
        <v>2</v>
      </c>
      <c r="F3">
        <v>850</v>
      </c>
      <c r="G3">
        <v>1700</v>
      </c>
      <c r="H3" s="1">
        <v>4.2</v>
      </c>
    </row>
    <row r="4" spans="1:8" x14ac:dyDescent="0.3">
      <c r="A4" s="1">
        <v>1003</v>
      </c>
      <c r="B4" t="s">
        <v>14</v>
      </c>
      <c r="C4" t="s">
        <v>15</v>
      </c>
      <c r="D4" t="s">
        <v>10</v>
      </c>
      <c r="E4" s="1">
        <v>3</v>
      </c>
      <c r="F4">
        <v>300</v>
      </c>
      <c r="G4">
        <v>900</v>
      </c>
      <c r="H4" s="1">
        <v>3.9</v>
      </c>
    </row>
    <row r="5" spans="1:8" x14ac:dyDescent="0.3">
      <c r="A5" s="1">
        <v>1004</v>
      </c>
      <c r="B5" t="s">
        <v>16</v>
      </c>
      <c r="C5" t="s">
        <v>17</v>
      </c>
      <c r="D5" t="s">
        <v>18</v>
      </c>
      <c r="E5" s="1">
        <v>20</v>
      </c>
      <c r="F5">
        <v>25</v>
      </c>
      <c r="G5">
        <v>500</v>
      </c>
      <c r="H5" s="1">
        <v>4.7</v>
      </c>
    </row>
    <row r="6" spans="1:8" x14ac:dyDescent="0.3">
      <c r="A6" s="1">
        <v>1005</v>
      </c>
      <c r="B6" t="s">
        <v>8</v>
      </c>
      <c r="C6" t="s">
        <v>9</v>
      </c>
      <c r="D6" t="s">
        <v>13</v>
      </c>
      <c r="E6" s="1">
        <v>1</v>
      </c>
      <c r="F6">
        <v>1200</v>
      </c>
      <c r="G6">
        <v>1200</v>
      </c>
      <c r="H6" s="1">
        <v>4.0999999999999996</v>
      </c>
    </row>
    <row r="7" spans="1:8" x14ac:dyDescent="0.3">
      <c r="A7" s="1">
        <v>1006</v>
      </c>
      <c r="B7" t="s">
        <v>11</v>
      </c>
      <c r="C7" t="s">
        <v>12</v>
      </c>
      <c r="D7" t="s">
        <v>10</v>
      </c>
      <c r="E7" s="1">
        <v>4</v>
      </c>
      <c r="F7">
        <v>310</v>
      </c>
      <c r="G7">
        <v>1240</v>
      </c>
      <c r="H7" s="1">
        <v>3.8</v>
      </c>
    </row>
    <row r="8" spans="1:8" x14ac:dyDescent="0.3">
      <c r="A8" s="1">
        <v>1007</v>
      </c>
      <c r="B8" t="s">
        <v>14</v>
      </c>
      <c r="C8" t="s">
        <v>15</v>
      </c>
      <c r="D8" t="s">
        <v>18</v>
      </c>
      <c r="E8" s="1">
        <v>15</v>
      </c>
      <c r="F8">
        <v>22</v>
      </c>
      <c r="G8">
        <v>330</v>
      </c>
      <c r="H8" s="1">
        <v>4.5999999999999996</v>
      </c>
    </row>
    <row r="9" spans="1:8" x14ac:dyDescent="0.3">
      <c r="A9" s="1">
        <v>1008</v>
      </c>
      <c r="B9" t="s">
        <v>16</v>
      </c>
      <c r="C9" t="s">
        <v>17</v>
      </c>
      <c r="D9" t="s">
        <v>10</v>
      </c>
      <c r="E9" s="1">
        <v>6</v>
      </c>
      <c r="F9">
        <v>295</v>
      </c>
      <c r="G9">
        <v>1770</v>
      </c>
      <c r="H9" s="1">
        <v>4.4000000000000004</v>
      </c>
    </row>
    <row r="10" spans="1:8" x14ac:dyDescent="0.3">
      <c r="A10" s="1">
        <v>1009</v>
      </c>
      <c r="B10" t="s">
        <v>8</v>
      </c>
      <c r="C10" t="s">
        <v>9</v>
      </c>
      <c r="D10" t="s">
        <v>18</v>
      </c>
      <c r="E10" s="1">
        <v>18</v>
      </c>
      <c r="F10">
        <v>24</v>
      </c>
      <c r="G10">
        <v>432</v>
      </c>
      <c r="H10" s="1">
        <v>4.8</v>
      </c>
    </row>
    <row r="11" spans="1:8" x14ac:dyDescent="0.3">
      <c r="A11" s="1">
        <v>1010</v>
      </c>
      <c r="B11" t="s">
        <v>11</v>
      </c>
      <c r="C11" t="s">
        <v>12</v>
      </c>
      <c r="D11" t="s">
        <v>13</v>
      </c>
      <c r="E11" s="1">
        <v>3</v>
      </c>
      <c r="F11">
        <v>900</v>
      </c>
      <c r="G11">
        <v>2700</v>
      </c>
      <c r="H11" s="1">
        <v>4</v>
      </c>
    </row>
    <row r="12" spans="1:8" x14ac:dyDescent="0.3">
      <c r="A12" s="1">
        <v>1011</v>
      </c>
      <c r="B12" t="s">
        <v>14</v>
      </c>
      <c r="C12" t="s">
        <v>15</v>
      </c>
      <c r="D12" t="s">
        <v>13</v>
      </c>
      <c r="E12" s="1">
        <v>2</v>
      </c>
      <c r="F12">
        <v>950</v>
      </c>
      <c r="G12">
        <v>1900</v>
      </c>
      <c r="H12" s="1">
        <v>4.3</v>
      </c>
    </row>
    <row r="13" spans="1:8" x14ac:dyDescent="0.3">
      <c r="A13" s="1">
        <v>1012</v>
      </c>
      <c r="B13" t="s">
        <v>16</v>
      </c>
      <c r="C13" t="s">
        <v>17</v>
      </c>
      <c r="D13" t="s">
        <v>18</v>
      </c>
      <c r="E13" s="1">
        <v>25</v>
      </c>
      <c r="F13">
        <v>23</v>
      </c>
      <c r="G13">
        <v>575</v>
      </c>
      <c r="H13" s="1">
        <v>4.9000000000000004</v>
      </c>
    </row>
    <row r="14" spans="1:8" x14ac:dyDescent="0.3">
      <c r="A14" s="1">
        <v>1013</v>
      </c>
      <c r="B14" t="s">
        <v>8</v>
      </c>
      <c r="C14" t="s">
        <v>9</v>
      </c>
      <c r="D14" t="s">
        <v>10</v>
      </c>
      <c r="E14" s="1">
        <v>7</v>
      </c>
      <c r="F14">
        <v>315</v>
      </c>
      <c r="G14">
        <v>2205</v>
      </c>
      <c r="H14" s="1">
        <v>4.2</v>
      </c>
    </row>
    <row r="15" spans="1:8" x14ac:dyDescent="0.3">
      <c r="A15" s="1">
        <v>1014</v>
      </c>
      <c r="B15" t="s">
        <v>11</v>
      </c>
      <c r="C15" t="s">
        <v>12</v>
      </c>
      <c r="D15" t="s">
        <v>18</v>
      </c>
      <c r="E15" s="1">
        <v>30</v>
      </c>
      <c r="F15">
        <v>21</v>
      </c>
      <c r="G15">
        <v>630</v>
      </c>
      <c r="H15" s="1">
        <v>4.5999999999999996</v>
      </c>
    </row>
    <row r="16" spans="1:8" x14ac:dyDescent="0.3">
      <c r="A16" s="1">
        <v>1015</v>
      </c>
      <c r="B16" t="s">
        <v>14</v>
      </c>
      <c r="C16" t="s">
        <v>15</v>
      </c>
      <c r="D16" t="s">
        <v>10</v>
      </c>
      <c r="E16" s="1">
        <v>5</v>
      </c>
      <c r="F16">
        <v>305</v>
      </c>
      <c r="G16">
        <v>1525</v>
      </c>
      <c r="H16" s="1">
        <v>4.0999999999999996</v>
      </c>
    </row>
    <row r="17" spans="1:8" x14ac:dyDescent="0.3">
      <c r="A17" s="1">
        <v>1016</v>
      </c>
      <c r="B17" t="s">
        <v>16</v>
      </c>
      <c r="C17" t="s">
        <v>17</v>
      </c>
      <c r="D17" t="s">
        <v>13</v>
      </c>
      <c r="E17" s="1">
        <v>2</v>
      </c>
      <c r="F17">
        <v>980</v>
      </c>
      <c r="G17">
        <v>1960</v>
      </c>
      <c r="H17" s="1">
        <v>3.9</v>
      </c>
    </row>
    <row r="18" spans="1:8" x14ac:dyDescent="0.3">
      <c r="A18" s="1">
        <v>1017</v>
      </c>
      <c r="B18" t="s">
        <v>8</v>
      </c>
      <c r="C18" t="s">
        <v>9</v>
      </c>
      <c r="D18" t="s">
        <v>18</v>
      </c>
      <c r="E18" s="1">
        <v>22</v>
      </c>
      <c r="F18">
        <v>24</v>
      </c>
      <c r="G18">
        <v>528</v>
      </c>
      <c r="H18" s="1">
        <v>4.7</v>
      </c>
    </row>
    <row r="19" spans="1:8" x14ac:dyDescent="0.3">
      <c r="A19" s="1">
        <v>1018</v>
      </c>
      <c r="B19" t="s">
        <v>11</v>
      </c>
      <c r="C19" t="s">
        <v>12</v>
      </c>
      <c r="D19" t="s">
        <v>10</v>
      </c>
      <c r="E19" s="1">
        <v>3</v>
      </c>
      <c r="F19">
        <v>299</v>
      </c>
      <c r="G19">
        <v>897</v>
      </c>
      <c r="H19" s="1">
        <v>3.7</v>
      </c>
    </row>
    <row r="20" spans="1:8" x14ac:dyDescent="0.3">
      <c r="A20" s="1">
        <v>1019</v>
      </c>
      <c r="B20" t="s">
        <v>14</v>
      </c>
      <c r="C20" t="s">
        <v>15</v>
      </c>
      <c r="D20" t="s">
        <v>18</v>
      </c>
      <c r="E20" s="1">
        <v>19</v>
      </c>
      <c r="F20">
        <v>23</v>
      </c>
      <c r="G20">
        <v>437</v>
      </c>
      <c r="H20" s="1">
        <v>4.5</v>
      </c>
    </row>
    <row r="21" spans="1:8" x14ac:dyDescent="0.3">
      <c r="A21" s="1">
        <v>1020</v>
      </c>
      <c r="B21" t="s">
        <v>16</v>
      </c>
      <c r="C21" t="s">
        <v>17</v>
      </c>
      <c r="D21" t="s">
        <v>10</v>
      </c>
      <c r="E21" s="1">
        <v>8</v>
      </c>
      <c r="F21">
        <v>310</v>
      </c>
      <c r="G21">
        <v>2480</v>
      </c>
      <c r="H21" s="1">
        <v>4.4000000000000004</v>
      </c>
    </row>
    <row r="22" spans="1:8" x14ac:dyDescent="0.3">
      <c r="G22">
        <f>MEDIAN(G2:G21)</f>
        <v>1220</v>
      </c>
    </row>
    <row r="23" spans="1:8" x14ac:dyDescent="0.3">
      <c r="G23">
        <f>_xlfn.STDEV.P(G2:G21)</f>
        <v>723.26022115141927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Table</vt:lpstr>
      <vt:lpstr>Exercise</vt:lpstr>
      <vt:lpstr>Sales_Data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Jordan Worrobah</cp:lastModifiedBy>
  <cp:revision/>
  <dcterms:created xsi:type="dcterms:W3CDTF">2026-04-07T19:25:39Z</dcterms:created>
  <dcterms:modified xsi:type="dcterms:W3CDTF">2026-04-09T16:58:55Z</dcterms:modified>
  <cp:category/>
  <cp:contentStatus/>
</cp:coreProperties>
</file>