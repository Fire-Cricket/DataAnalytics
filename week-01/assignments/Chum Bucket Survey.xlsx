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8_{0D1F11A8-BFC5-405D-8851-C704FB272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D6" i="1"/>
  <c r="D3" i="1"/>
  <c r="D2" i="1"/>
  <c r="D4" i="1"/>
  <c r="D5" i="1"/>
</calcChain>
</file>

<file path=xl/sharedStrings.xml><?xml version="1.0" encoding="utf-8"?>
<sst xmlns="http://schemas.openxmlformats.org/spreadsheetml/2006/main" count="61" uniqueCount="40">
  <si>
    <t>Id</t>
  </si>
  <si>
    <t>Start time</t>
  </si>
  <si>
    <t>Completion time</t>
  </si>
  <si>
    <t>Email</t>
  </si>
  <si>
    <t>Name</t>
  </si>
  <si>
    <t>How often do you visit the Chum Bucket?</t>
  </si>
  <si>
    <t>How would you rate your experience?</t>
  </si>
  <si>
    <t>What did you think about the food?</t>
  </si>
  <si>
    <t>What would make you come back?</t>
  </si>
  <si>
    <t>Which item did you try?</t>
  </si>
  <si>
    <t>How important are rewards to you?</t>
  </si>
  <si>
    <t>What reward would you want most?</t>
  </si>
  <si>
    <t>Would you join a Chum Bucket rewards program?</t>
  </si>
  <si>
    <t>What should we improve?</t>
  </si>
  <si>
    <t>Will you come back</t>
  </si>
  <si>
    <t>anonymous</t>
  </si>
  <si>
    <t>Frequently</t>
  </si>
  <si>
    <t>Better than the Krusty Krab</t>
  </si>
  <si>
    <t>Rewards program</t>
  </si>
  <si>
    <t>Chum Burger</t>
  </si>
  <si>
    <t>Somewhat important</t>
  </si>
  <si>
    <t>Free food</t>
  </si>
  <si>
    <t>Yes</t>
  </si>
  <si>
    <t>Chum Shake</t>
  </si>
  <si>
    <t>First time</t>
  </si>
  <si>
    <t>Needs improvement </t>
  </si>
  <si>
    <t>Better food quality</t>
  </si>
  <si>
    <t>Maybe</t>
  </si>
  <si>
    <t>Sometimes</t>
  </si>
  <si>
    <t>Loved it</t>
  </si>
  <si>
    <t>Very important</t>
  </si>
  <si>
    <t>Discounts</t>
  </si>
  <si>
    <t>Not important</t>
  </si>
  <si>
    <t>Exclusive menu items</t>
  </si>
  <si>
    <t>No</t>
  </si>
  <si>
    <t>Chum Fries</t>
  </si>
  <si>
    <t>Time to complete</t>
  </si>
  <si>
    <t>Row Labels</t>
  </si>
  <si>
    <t>Grand Total</t>
  </si>
  <si>
    <t>Count of Will you come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</si>
</sst>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m/d/yyyy\ h:mm:ss"/>
    </dxf>
    <dxf>
      <numFmt numFmtId="165" formatCode="m/d/yyyy\ h:mm:ss"/>
    </dxf>
    <dxf>
      <numFmt numFmtId="165" formatCode="m/d/yyyy\ h:mm:ss"/>
    </dxf>
    <dxf>
      <numFmt numFmtId="165" formatCode="m/d/yyyy\ h:mm:ss"/>
    </dxf>
    <dxf>
      <numFmt numFmtId="165" formatCode="m/d/yyyy\ h:mm:ss"/>
    </dxf>
    <dxf>
      <numFmt numFmtId="165" formatCode="m/d/yy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[Chum Bucket Survey.xlsx]Sheet2!PivotTable1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Sheet2!$A$2:$A$4</c:f>
              <c:strCache>
                <c:ptCount val="2"/>
                <c:pt idx="0">
                  <c:v>Chum Burger</c:v>
                </c:pt>
                <c:pt idx="1">
                  <c:v>Chum Shake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9-4120-B70B-26A027D6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3472"/>
        <c:axId val="180244432"/>
      </c:barChart>
      <c:catAx>
        <c:axId val="18024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4432"/>
        <c:crosses val="autoZero"/>
        <c:auto val="1"/>
        <c:lblAlgn val="ctr"/>
        <c:lblOffset val="100"/>
        <c:noMultiLvlLbl val="0"/>
      </c:catAx>
      <c:valAx>
        <c:axId val="1802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7146F-C390-4BCB-ADF2-63BAF791F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5.955621875" createdVersion="8" refreshedVersion="8" minRefreshableVersion="3" recordCount="4" xr:uid="{9519F13C-25E2-4ECE-8F18-A610D8667B95}">
  <cacheSource type="worksheet">
    <worksheetSource name="OfficeForms.Table"/>
  </cacheSource>
  <cacheFields count="16">
    <cacheField name="Id" numFmtId="0">
      <sharedItems containsSemiMixedTypes="0" containsString="0" containsNumber="1" containsInteger="1" minValue="1" maxValue="4"/>
    </cacheField>
    <cacheField name="Start time" numFmtId="165">
      <sharedItems containsSemiMixedTypes="0" containsNonDate="0" containsDate="1" containsString="0" minDate="2026-04-10T15:37:35" maxDate="2026-04-13T22:36:01"/>
    </cacheField>
    <cacheField name="Completion time" numFmtId="165">
      <sharedItems containsSemiMixedTypes="0" containsNonDate="0" containsDate="1" containsString="0" minDate="2026-04-10T15:38:10" maxDate="2026-04-13T22:36:27"/>
    </cacheField>
    <cacheField name="Time to complete" numFmtId="165">
      <sharedItems containsSemiMixedTypes="0" containsNonDate="0" containsDate="1" containsString="0" minDate="1899-12-30T00:00:26" maxDate="1899-12-30T00:01:34"/>
    </cacheField>
    <cacheField name="Email" numFmtId="0">
      <sharedItems/>
    </cacheField>
    <cacheField name="Name" numFmtId="0">
      <sharedItems containsNonDate="0" containsString="0" containsBlank="1" count="1">
        <m/>
      </sharedItems>
    </cacheField>
    <cacheField name="How often do you visit the Chum Bucket?" numFmtId="0">
      <sharedItems/>
    </cacheField>
    <cacheField name="How would you rate your experience?" numFmtId="0">
      <sharedItems containsSemiMixedTypes="0" containsString="0" containsNumber="1" containsInteger="1" minValue="3" maxValue="5"/>
    </cacheField>
    <cacheField name="What did you think about the food?" numFmtId="0">
      <sharedItems/>
    </cacheField>
    <cacheField name="What would make you come back?" numFmtId="0">
      <sharedItems/>
    </cacheField>
    <cacheField name="Which item did you try?" numFmtId="0">
      <sharedItems count="2">
        <s v="Chum Burger"/>
        <s v="Chum Shake"/>
      </sharedItems>
    </cacheField>
    <cacheField name="How important are rewards to you?" numFmtId="0">
      <sharedItems/>
    </cacheField>
    <cacheField name="What reward would you want most?" numFmtId="0">
      <sharedItems/>
    </cacheField>
    <cacheField name="Would you join a Chum Bucket rewards program?" numFmtId="0">
      <sharedItems/>
    </cacheField>
    <cacheField name="What should we improve?" numFmtId="0">
      <sharedItems/>
    </cacheField>
    <cacheField name="Will you come back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d v="2026-04-10T15:37:35"/>
    <d v="2026-04-10T15:38:10"/>
    <d v="1899-12-30T00:00:35"/>
    <s v="anonymous"/>
    <x v="0"/>
    <s v="Frequently"/>
    <n v="5"/>
    <s v="Better than the Krusty Krab"/>
    <s v="Rewards program"/>
    <x v="0"/>
    <s v="Somewhat important"/>
    <s v="Free food"/>
    <s v="Yes"/>
    <s v="Chum Shake"/>
    <x v="0"/>
  </r>
  <r>
    <n v="2"/>
    <d v="2026-04-10T15:41:51"/>
    <d v="2026-04-10T15:43:20"/>
    <d v="1899-12-30T00:01:29"/>
    <s v="anonymous"/>
    <x v="0"/>
    <s v="First time"/>
    <n v="3"/>
    <s v="Needs improvement "/>
    <s v="Better food quality"/>
    <x v="0"/>
    <s v="Somewhat important"/>
    <s v="Free food"/>
    <s v="Maybe"/>
    <s v="Chum Burger"/>
    <x v="0"/>
  </r>
  <r>
    <n v="3"/>
    <d v="2026-04-10T17:00:50"/>
    <d v="2026-04-10T17:02:24"/>
    <d v="1899-12-30T00:01:34"/>
    <s v="anonymous"/>
    <x v="0"/>
    <s v="Sometimes"/>
    <n v="5"/>
    <s v="Loved it"/>
    <s v="Rewards program"/>
    <x v="0"/>
    <s v="Very important"/>
    <s v="Discounts"/>
    <s v="Yes"/>
    <s v="Chum Shake"/>
    <x v="0"/>
  </r>
  <r>
    <n v="4"/>
    <d v="2026-04-13T22:36:01"/>
    <d v="2026-04-13T22:36:27"/>
    <d v="1899-12-30T00:00:26"/>
    <s v="anonymous"/>
    <x v="0"/>
    <s v="First time"/>
    <n v="5"/>
    <s v="Better than the Krusty Krab"/>
    <s v="Rewards program"/>
    <x v="1"/>
    <s v="Not important"/>
    <s v="Exclusive menu items"/>
    <s v="No"/>
    <s v="Chum Fri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C5654-A732-4220-9D80-0B799D6D44D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6">
    <pivotField showAll="0"/>
    <pivotField numFmtId="165" showAll="0"/>
    <pivotField numFmtId="165" showAll="0"/>
    <pivotField numFmtId="165"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Will you come back" fld="15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6" totalsRowCount="1">
  <autoFilter ref="A1:P5" xr:uid="{00000000-0009-0000-0100-000001000000}"/>
  <tableColumns count="16">
    <tableColumn id="1" xr3:uid="{00000000-0010-0000-0000-000001000000}" name="Id" dataDxfId="31" totalsRowDxfId="3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9" totalsRowDxfId="28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7" totalsRowDxfId="26">
      <extLst>
        <ext xmlns:xlmsforms="http://schemas.microsoft.com/office/spreadsheetml/2023/msForms" uri="{FCC71383-01E1-4257-9335-427F07BE8D7F}">
          <xlmsforms:question id="submitDate"/>
        </ext>
      </extLst>
    </tableColumn>
    <tableColumn id="16" xr3:uid="{BCA95893-196D-4368-BABD-B731B854181C}" name="Time to complete" totalsRowFunction="custom" dataDxfId="25" totalsRowDxfId="24">
      <calculatedColumnFormula>C2-B2</calculatedColumnFormula>
      <totalsRowFormula>AVERAGE(OfficeForms.Table[Time to complete])</totalsRowFormula>
    </tableColumn>
    <tableColumn id="4" xr3:uid="{00000000-0010-0000-0000-000004000000}" name="Email" dataDxfId="23" totalsRowDxfId="2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1" totalsRowDxfId="2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the Chum Bucket?" dataDxfId="19" totalsRowDxfId="18">
      <extLst>
        <ext xmlns:xlmsforms="http://schemas.microsoft.com/office/spreadsheetml/2023/msForms" uri="{FCC71383-01E1-4257-9335-427F07BE8D7F}">
          <xlmsforms:question id="rc9e77136b15a4c39a9a188fe8a34a6e0"/>
        </ext>
      </extLst>
    </tableColumn>
    <tableColumn id="7" xr3:uid="{00000000-0010-0000-0000-000007000000}" name="How would you rate your experience?" totalsRowFunction="custom" dataDxfId="17" totalsRowDxfId="16">
      <totalsRowFormula>AVERAGE(OfficeForms.Table[How would you rate your experience?])</totalsRowFormula>
      <extLst>
        <ext xmlns:xlmsforms="http://schemas.microsoft.com/office/spreadsheetml/2023/msForms" uri="{FCC71383-01E1-4257-9335-427F07BE8D7F}">
          <xlmsforms:question id="r89a21d2aec674ee396d881b6c750c25d"/>
        </ext>
      </extLst>
    </tableColumn>
    <tableColumn id="8" xr3:uid="{00000000-0010-0000-0000-000008000000}" name="What did you think about the food?" dataDxfId="15" totalsRowDxfId="14">
      <extLst>
        <ext xmlns:xlmsforms="http://schemas.microsoft.com/office/spreadsheetml/2023/msForms" uri="{FCC71383-01E1-4257-9335-427F07BE8D7F}">
          <xlmsforms:question id="rebdf9769b6994f84a1cbc07f751e36e0"/>
        </ext>
      </extLst>
    </tableColumn>
    <tableColumn id="9" xr3:uid="{00000000-0010-0000-0000-000009000000}" name="What would make you come back?" dataDxfId="13" totalsRowDxfId="12">
      <extLst>
        <ext xmlns:xlmsforms="http://schemas.microsoft.com/office/spreadsheetml/2023/msForms" uri="{FCC71383-01E1-4257-9335-427F07BE8D7F}">
          <xlmsforms:question id="rc9fd3215f1b649cb9867cec60be31f35"/>
        </ext>
      </extLst>
    </tableColumn>
    <tableColumn id="10" xr3:uid="{00000000-0010-0000-0000-00000A000000}" name="Which item did you try?" dataDxfId="11" totalsRowDxfId="10">
      <extLst>
        <ext xmlns:xlmsforms="http://schemas.microsoft.com/office/spreadsheetml/2023/msForms" uri="{FCC71383-01E1-4257-9335-427F07BE8D7F}">
          <xlmsforms:question id="rbdf224be92cb46169fcf582d7f521643"/>
        </ext>
      </extLst>
    </tableColumn>
    <tableColumn id="11" xr3:uid="{00000000-0010-0000-0000-00000B000000}" name="How important are rewards to you?" dataDxfId="9" totalsRowDxfId="8">
      <extLst>
        <ext xmlns:xlmsforms="http://schemas.microsoft.com/office/spreadsheetml/2023/msForms" uri="{FCC71383-01E1-4257-9335-427F07BE8D7F}">
          <xlmsforms:question id="re27ee9e8a5834e74a2d6ffc98278af25"/>
        </ext>
      </extLst>
    </tableColumn>
    <tableColumn id="12" xr3:uid="{00000000-0010-0000-0000-00000C000000}" name="What reward would you want most?" dataDxfId="7" totalsRowDxfId="6">
      <extLst>
        <ext xmlns:xlmsforms="http://schemas.microsoft.com/office/spreadsheetml/2023/msForms" uri="{FCC71383-01E1-4257-9335-427F07BE8D7F}">
          <xlmsforms:question id="r7064420fe10145fea93e93528e15160e"/>
        </ext>
      </extLst>
    </tableColumn>
    <tableColumn id="13" xr3:uid="{00000000-0010-0000-0000-00000D000000}" name="Would you join a Chum Bucket rewards program?" dataDxfId="5" totalsRowDxfId="4">
      <extLst>
        <ext xmlns:xlmsforms="http://schemas.microsoft.com/office/spreadsheetml/2023/msForms" uri="{FCC71383-01E1-4257-9335-427F07BE8D7F}">
          <xlmsforms:question id="r0b2060061da14d74be5f50affb9a25a4"/>
        </ext>
      </extLst>
    </tableColumn>
    <tableColumn id="14" xr3:uid="{00000000-0010-0000-0000-00000E000000}" name="What should we improve?" dataDxfId="3" totalsRowDxfId="2">
      <extLst>
        <ext xmlns:xlmsforms="http://schemas.microsoft.com/office/spreadsheetml/2023/msForms" uri="{FCC71383-01E1-4257-9335-427F07BE8D7F}">
          <xlmsforms:question id="r4d4cea8d794d477fab4487c8ea6c29f6"/>
        </ext>
      </extLst>
    </tableColumn>
    <tableColumn id="15" xr3:uid="{00000000-0010-0000-0000-00000F000000}" name="Will you come back" dataDxfId="1" totalsRowDxfId="0">
      <extLst>
        <ext xmlns:xlmsforms="http://schemas.microsoft.com/office/spreadsheetml/2023/msForms" uri="{FCC71383-01E1-4257-9335-427F07BE8D7F}">
          <xlmsforms:question id="r2405c831f09545b082a8af66f652558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yN7bcCviGhNsHDzcMHAFExUNE42TTNRR0o4SlZBQTlNUlZHWlBLWlNNVS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rc9e77136b15a4c39a9a188fe8a34a6e0</xlmsforms:syncedQuestionId>
        <xlmsforms:syncedQuestionId>r89a21d2aec674ee396d881b6c750c25d</xlmsforms:syncedQuestionId>
        <xlmsforms:syncedQuestionId>rebdf9769b6994f84a1cbc07f751e36e0</xlmsforms:syncedQuestionId>
        <xlmsforms:syncedQuestionId>rc9fd3215f1b649cb9867cec60be31f35</xlmsforms:syncedQuestionId>
        <xlmsforms:syncedQuestionId>rbdf224be92cb46169fcf582d7f521643</xlmsforms:syncedQuestionId>
        <xlmsforms:syncedQuestionId>re27ee9e8a5834e74a2d6ffc98278af25</xlmsforms:syncedQuestionId>
        <xlmsforms:syncedQuestionId>r7064420fe10145fea93e93528e15160e</xlmsforms:syncedQuestionId>
        <xlmsforms:syncedQuestionId>r0b2060061da14d74be5f50affb9a25a4</xlmsforms:syncedQuestionId>
        <xlmsforms:syncedQuestionId>r4d4cea8d794d477fab4487c8ea6c29f6</xlmsforms:syncedQuestionId>
        <xlmsforms:syncedQuestionId>r2405c831f09545b082a8af66f6525580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2A08-001C-48F4-94E2-49174C14A5BA}">
  <dimension ref="A1:B4"/>
  <sheetViews>
    <sheetView tabSelected="1" workbookViewId="0"/>
  </sheetViews>
  <sheetFormatPr defaultRowHeight="15" x14ac:dyDescent="0.25"/>
  <cols>
    <col min="1" max="1" width="13.140625" bestFit="1" customWidth="1"/>
    <col min="2" max="2" width="26.7109375" bestFit="1" customWidth="1"/>
  </cols>
  <sheetData>
    <row r="1" spans="1:2" x14ac:dyDescent="0.25">
      <c r="A1" s="4" t="s">
        <v>37</v>
      </c>
      <c r="B1" t="s">
        <v>39</v>
      </c>
    </row>
    <row r="2" spans="1:2" x14ac:dyDescent="0.25">
      <c r="A2" s="5" t="s">
        <v>19</v>
      </c>
      <c r="B2" s="2">
        <v>3</v>
      </c>
    </row>
    <row r="3" spans="1:2" x14ac:dyDescent="0.25">
      <c r="A3" s="5" t="s">
        <v>23</v>
      </c>
      <c r="B3" s="2">
        <v>1</v>
      </c>
    </row>
    <row r="4" spans="1:2" x14ac:dyDescent="0.25">
      <c r="A4" s="5" t="s">
        <v>38</v>
      </c>
      <c r="B4" s="2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opLeftCell="E1" workbookViewId="0">
      <selection activeCell="H6" sqref="H6"/>
    </sheetView>
  </sheetViews>
  <sheetFormatPr defaultRowHeight="15" x14ac:dyDescent="0.25"/>
  <cols>
    <col min="1" max="1" width="20" bestFit="1" customWidth="1"/>
    <col min="2" max="2" width="20" style="1" bestFit="1" customWidth="1"/>
    <col min="3" max="3" width="20" bestFit="1" customWidth="1"/>
    <col min="4" max="4" width="20" customWidth="1"/>
    <col min="5" max="16" width="20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 s="1">
        <v>46122.651099537034</v>
      </c>
      <c r="C2" s="1">
        <v>46122.651504629626</v>
      </c>
      <c r="D2" s="1">
        <f t="shared" ref="D2:D5" si="0">C2-B2</f>
        <v>4.0509259270038456E-4</v>
      </c>
      <c r="E2" t="s">
        <v>15</v>
      </c>
      <c r="G2" t="s">
        <v>16</v>
      </c>
      <c r="H2">
        <v>5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22</v>
      </c>
    </row>
    <row r="3" spans="1:16" x14ac:dyDescent="0.25">
      <c r="A3">
        <v>2</v>
      </c>
      <c r="B3" s="1">
        <v>46122.654062499998</v>
      </c>
      <c r="C3" s="1">
        <v>46122.655092592591</v>
      </c>
      <c r="D3" s="1">
        <f>C3-B3</f>
        <v>1.0300925932824612E-3</v>
      </c>
      <c r="E3" t="s">
        <v>15</v>
      </c>
      <c r="G3" t="s">
        <v>24</v>
      </c>
      <c r="H3">
        <v>3</v>
      </c>
      <c r="I3" t="s">
        <v>25</v>
      </c>
      <c r="J3" t="s">
        <v>26</v>
      </c>
      <c r="K3" t="s">
        <v>19</v>
      </c>
      <c r="L3" t="s">
        <v>20</v>
      </c>
      <c r="M3" t="s">
        <v>21</v>
      </c>
      <c r="N3" t="s">
        <v>27</v>
      </c>
      <c r="O3" t="s">
        <v>19</v>
      </c>
      <c r="P3" t="s">
        <v>22</v>
      </c>
    </row>
    <row r="4" spans="1:16" x14ac:dyDescent="0.25">
      <c r="A4">
        <v>3</v>
      </c>
      <c r="B4" s="1">
        <v>46122.708912037036</v>
      </c>
      <c r="C4" s="1">
        <v>46122.71</v>
      </c>
      <c r="D4" s="1">
        <f t="shared" si="0"/>
        <v>1.0879629626288079E-3</v>
      </c>
      <c r="E4" t="s">
        <v>15</v>
      </c>
      <c r="G4" t="s">
        <v>28</v>
      </c>
      <c r="H4">
        <v>5</v>
      </c>
      <c r="I4" t="s">
        <v>29</v>
      </c>
      <c r="J4" t="s">
        <v>18</v>
      </c>
      <c r="K4" t="s">
        <v>19</v>
      </c>
      <c r="L4" t="s">
        <v>30</v>
      </c>
      <c r="M4" t="s">
        <v>31</v>
      </c>
      <c r="N4" t="s">
        <v>22</v>
      </c>
      <c r="O4" t="s">
        <v>23</v>
      </c>
      <c r="P4" t="s">
        <v>22</v>
      </c>
    </row>
    <row r="5" spans="1:16" x14ac:dyDescent="0.25">
      <c r="A5">
        <v>4</v>
      </c>
      <c r="B5" s="1">
        <v>46125.941678240742</v>
      </c>
      <c r="C5" s="1">
        <v>46125.941979166666</v>
      </c>
      <c r="D5" s="1">
        <f t="shared" si="0"/>
        <v>3.0092592351138592E-4</v>
      </c>
      <c r="E5" t="s">
        <v>15</v>
      </c>
      <c r="G5" t="s">
        <v>24</v>
      </c>
      <c r="H5">
        <v>5</v>
      </c>
      <c r="I5" t="s">
        <v>17</v>
      </c>
      <c r="J5" t="s">
        <v>18</v>
      </c>
      <c r="K5" t="s">
        <v>23</v>
      </c>
      <c r="L5" t="s">
        <v>32</v>
      </c>
      <c r="M5" t="s">
        <v>33</v>
      </c>
      <c r="N5" t="s">
        <v>34</v>
      </c>
      <c r="O5" t="s">
        <v>35</v>
      </c>
      <c r="P5" t="s">
        <v>34</v>
      </c>
    </row>
    <row r="6" spans="1:16" x14ac:dyDescent="0.25">
      <c r="A6" s="2"/>
      <c r="C6" s="1"/>
      <c r="D6" s="1">
        <f>AVERAGE(OfficeForms.Table[Time to complete])</f>
        <v>7.0601851803075988E-4</v>
      </c>
      <c r="E6" s="3"/>
      <c r="F6" s="3"/>
      <c r="G6" s="3"/>
      <c r="H6" s="2">
        <f>AVERAGE(OfficeForms.Table[How would you rate your experience?])</f>
        <v>4.5</v>
      </c>
      <c r="I6" s="3"/>
      <c r="J6" s="3"/>
      <c r="K6" s="3"/>
      <c r="L6" s="3"/>
      <c r="M6" s="3"/>
      <c r="N6" s="3"/>
      <c r="O6" s="3"/>
      <c r="P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Jordan's River</dc:creator>
  <cp:keywords/>
  <dc:description/>
  <cp:lastModifiedBy>jordan worrobah</cp:lastModifiedBy>
  <cp:revision/>
  <dcterms:created xsi:type="dcterms:W3CDTF">2026-04-14T02:37:08Z</dcterms:created>
  <dcterms:modified xsi:type="dcterms:W3CDTF">2026-04-14T02:57:23Z</dcterms:modified>
  <cp:category/>
  <cp:contentStatus/>
</cp:coreProperties>
</file>