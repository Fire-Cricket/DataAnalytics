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14\"/>
    </mc:Choice>
  </mc:AlternateContent>
  <xr:revisionPtr revIDLastSave="0" documentId="8_{1B666781-1949-4833-AC69-CE11A0A2F7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data worksheet" sheetId="1" r:id="rId1"/>
  </sheets>
  <definedNames>
    <definedName name="_xlnm.Print_Area" localSheetId="0">'sales data worksheet'!$A$1:$F$32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J11" i="1"/>
  <c r="K11" i="1"/>
  <c r="H11" i="1"/>
  <c r="M2" i="1"/>
  <c r="L2" i="1"/>
  <c r="H7" i="1"/>
  <c r="I7" i="1"/>
  <c r="J7" i="1"/>
  <c r="K7" i="1"/>
  <c r="I9" i="1"/>
  <c r="J9" i="1"/>
  <c r="K9" i="1"/>
  <c r="H9" i="1"/>
  <c r="I5" i="1"/>
  <c r="J5" i="1"/>
  <c r="K5" i="1"/>
  <c r="H5" i="1"/>
  <c r="I3" i="1"/>
  <c r="J3" i="1"/>
  <c r="K3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<sst xmlns="http://schemas.openxmlformats.org/spreadsheetml/2006/main" count="51" uniqueCount="36">
  <si>
    <t>Salesperson</t>
  </si>
  <si>
    <t>Darius</t>
  </si>
  <si>
    <t>John</t>
  </si>
  <si>
    <t>Karl</t>
  </si>
  <si>
    <t>Clark</t>
  </si>
  <si>
    <t>Devon</t>
  </si>
  <si>
    <t>James</t>
  </si>
  <si>
    <t>Kia</t>
  </si>
  <si>
    <t>Sheila</t>
  </si>
  <si>
    <t>Maya</t>
  </si>
  <si>
    <t>Jerome</t>
  </si>
  <si>
    <t>Curtis</t>
  </si>
  <si>
    <t>Paula</t>
  </si>
  <si>
    <t>Idris</t>
  </si>
  <si>
    <t>Melvin</t>
  </si>
  <si>
    <t>Susan</t>
  </si>
  <si>
    <t>Tina</t>
  </si>
  <si>
    <t>Ciara</t>
  </si>
  <si>
    <t>Russell</t>
  </si>
  <si>
    <t>Gayle</t>
  </si>
  <si>
    <t xml:space="preserve">Q1 2023 Sales Revenue </t>
  </si>
  <si>
    <t>Q4 2023 Sales Revenue</t>
  </si>
  <si>
    <t xml:space="preserve">Total 2023 Year Sales Revenue </t>
  </si>
  <si>
    <t>Q3 2023 Sales Revenue</t>
  </si>
  <si>
    <t>Q2 2023 Sales Revenue</t>
  </si>
  <si>
    <t>Average Sales</t>
  </si>
  <si>
    <t>Minimum Sales</t>
  </si>
  <si>
    <t>Maximum Sales</t>
  </si>
  <si>
    <t xml:space="preserve">Quarter 1  </t>
  </si>
  <si>
    <t xml:space="preserve">Quarter 2 </t>
  </si>
  <si>
    <t xml:space="preserve">Quarter 3  </t>
  </si>
  <si>
    <t xml:space="preserve">Quarter 4 </t>
  </si>
  <si>
    <t>Total Sales</t>
  </si>
  <si>
    <t>Lowest Sales person</t>
  </si>
  <si>
    <t>Highest Sales person</t>
  </si>
  <si>
    <t>Total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</si>
</sst>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0"/>
      <color rgb="FF000000"/>
      <name val="Arial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sz val="22"/>
      <color rgb="FF000000"/>
      <name val="Arial"/>
      <family val="2"/>
      <scheme val="minor"/>
    </font>
    <font>
      <b/>
      <sz val="22"/>
      <color rgb="FF000000"/>
      <name val="Arial"/>
      <family val="2"/>
      <scheme val="minor"/>
    </font>
    <font>
      <b/>
      <sz val="22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34"/>
  <sheetViews>
    <sheetView showFormulas="1" tabSelected="1" topLeftCell="E1" zoomScale="66" zoomScaleNormal="66" workbookViewId="0">
      <selection activeCell="H11" sqref="H11:K11"/>
    </sheetView>
  </sheetViews>
  <sheetFormatPr defaultColWidth="12.7109375" defaultRowHeight="27" x14ac:dyDescent="0.35"/>
  <cols>
    <col min="1" max="1" width="23.28515625" style="4" bestFit="1" customWidth="1"/>
    <col min="2" max="2" width="44.85546875" style="4" customWidth="1"/>
    <col min="3" max="3" width="42.7109375" style="4" customWidth="1"/>
    <col min="4" max="4" width="43.85546875" style="4" customWidth="1"/>
    <col min="5" max="5" width="47" style="4" customWidth="1"/>
    <col min="6" max="6" width="56.85546875" style="4" bestFit="1" customWidth="1"/>
    <col min="7" max="7" width="12.7109375" style="4"/>
    <col min="8" max="11" width="40.7109375" style="4" customWidth="1"/>
    <col min="12" max="13" width="45.7109375" style="4" customWidth="1"/>
    <col min="14" max="16384" width="12.7109375" style="4"/>
  </cols>
  <sheetData>
    <row r="1" spans="1:26" ht="27.75" x14ac:dyDescent="0.4">
      <c r="A1" s="1" t="s">
        <v>0</v>
      </c>
      <c r="B1" s="1" t="s">
        <v>20</v>
      </c>
      <c r="C1" s="1" t="s">
        <v>24</v>
      </c>
      <c r="D1" s="1" t="s">
        <v>23</v>
      </c>
      <c r="E1" s="1" t="s">
        <v>21</v>
      </c>
      <c r="F1" s="1" t="s">
        <v>22</v>
      </c>
      <c r="G1" s="1"/>
      <c r="H1" s="7" t="s">
        <v>28</v>
      </c>
      <c r="I1" s="6" t="s">
        <v>29</v>
      </c>
      <c r="J1" s="7" t="s">
        <v>30</v>
      </c>
      <c r="K1" s="6" t="s">
        <v>31</v>
      </c>
      <c r="L1" s="6" t="s">
        <v>33</v>
      </c>
      <c r="M1" s="6" t="s">
        <v>34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x14ac:dyDescent="0.35">
      <c r="A2" s="2" t="s">
        <v>1</v>
      </c>
      <c r="B2" s="3">
        <v>832.01</v>
      </c>
      <c r="C2" s="3">
        <v>980.87</v>
      </c>
      <c r="D2" s="3">
        <v>1139.24</v>
      </c>
      <c r="E2" s="3">
        <v>1184.4000000000001</v>
      </c>
      <c r="F2" s="3">
        <f>SUM(B2:E2)</f>
        <v>4136.5200000000004</v>
      </c>
      <c r="H2" s="7" t="s">
        <v>32</v>
      </c>
      <c r="I2" s="7" t="s">
        <v>32</v>
      </c>
      <c r="J2" s="7" t="s">
        <v>32</v>
      </c>
      <c r="K2" s="7" t="s">
        <v>32</v>
      </c>
      <c r="L2" s="4" t="str">
        <f>INDEX(A2:A20,MATCH(MIN(F2:F20),F2:F20,0))</f>
        <v>Curtis</v>
      </c>
      <c r="M2" s="4" t="str">
        <f>INDEX(A2:A20,MATCH(MAX(F2:F20),F2:F20,0))</f>
        <v>Clark</v>
      </c>
    </row>
    <row r="3" spans="1:26" x14ac:dyDescent="0.35">
      <c r="A3" s="2" t="s">
        <v>2</v>
      </c>
      <c r="B3" s="3">
        <v>770.79</v>
      </c>
      <c r="C3" s="3">
        <v>853.04</v>
      </c>
      <c r="D3" s="3">
        <v>868.63</v>
      </c>
      <c r="E3" s="3">
        <v>852.54</v>
      </c>
      <c r="F3" s="3">
        <f t="shared" ref="F3:F20" si="0">SUM(B3:E3)</f>
        <v>3345</v>
      </c>
      <c r="H3" s="5">
        <f>SUM(B2:B20)</f>
        <v>10465.090000000004</v>
      </c>
      <c r="I3" s="5">
        <f>SUM(C2:C20)</f>
        <v>11954.519999999999</v>
      </c>
      <c r="J3" s="5">
        <f t="shared" ref="I3:K3" si="1">SUM(D2:D20)</f>
        <v>12549.799999999997</v>
      </c>
      <c r="K3" s="5">
        <f t="shared" si="1"/>
        <v>13312.82</v>
      </c>
    </row>
    <row r="4" spans="1:26" ht="27.75" x14ac:dyDescent="0.4">
      <c r="A4" s="2" t="s">
        <v>3</v>
      </c>
      <c r="B4" s="3">
        <v>597.30999999999995</v>
      </c>
      <c r="C4" s="3">
        <v>658.47</v>
      </c>
      <c r="D4" s="3">
        <v>672.02</v>
      </c>
      <c r="E4" s="3">
        <v>739.11</v>
      </c>
      <c r="F4" s="3">
        <f t="shared" si="0"/>
        <v>2666.91</v>
      </c>
      <c r="H4" s="8" t="s">
        <v>25</v>
      </c>
      <c r="I4" s="8" t="s">
        <v>25</v>
      </c>
      <c r="J4" s="8" t="s">
        <v>25</v>
      </c>
      <c r="K4" s="8" t="s">
        <v>25</v>
      </c>
    </row>
    <row r="5" spans="1:26" x14ac:dyDescent="0.35">
      <c r="A5" s="2" t="s">
        <v>4</v>
      </c>
      <c r="B5" s="3">
        <v>989.84</v>
      </c>
      <c r="C5" s="3">
        <v>1185.6300000000001</v>
      </c>
      <c r="D5" s="3">
        <v>1237.23</v>
      </c>
      <c r="E5" s="3">
        <v>1395.95</v>
      </c>
      <c r="F5" s="3">
        <f t="shared" si="0"/>
        <v>4808.6500000000005</v>
      </c>
      <c r="H5" s="5">
        <f>AVERAGE(B2:B20)</f>
        <v>550.79421052631596</v>
      </c>
      <c r="I5" s="5">
        <f t="shared" ref="I5:K5" si="2">AVERAGE(C2:C20)</f>
        <v>629.18526315789461</v>
      </c>
      <c r="J5" s="5">
        <f t="shared" si="2"/>
        <v>660.51578947368409</v>
      </c>
      <c r="K5" s="5">
        <f t="shared" si="2"/>
        <v>700.67473684210529</v>
      </c>
    </row>
    <row r="6" spans="1:26" ht="27.75" x14ac:dyDescent="0.35">
      <c r="A6" s="2" t="s">
        <v>5</v>
      </c>
      <c r="B6" s="3">
        <v>448.67</v>
      </c>
      <c r="C6" s="3">
        <v>473.53</v>
      </c>
      <c r="D6" s="3">
        <v>472.19</v>
      </c>
      <c r="E6" s="3">
        <v>463.48</v>
      </c>
      <c r="F6" s="3">
        <f t="shared" si="0"/>
        <v>1857.8700000000001</v>
      </c>
      <c r="H6" s="9" t="s">
        <v>26</v>
      </c>
      <c r="I6" s="9" t="s">
        <v>26</v>
      </c>
      <c r="J6" s="9" t="s">
        <v>26</v>
      </c>
      <c r="K6" s="9" t="s">
        <v>26</v>
      </c>
    </row>
    <row r="7" spans="1:26" x14ac:dyDescent="0.35">
      <c r="A7" s="2" t="s">
        <v>6</v>
      </c>
      <c r="B7" s="3">
        <v>257.18</v>
      </c>
      <c r="C7" s="3">
        <v>321.64999999999998</v>
      </c>
      <c r="D7" s="3">
        <v>325.06</v>
      </c>
      <c r="E7" s="3">
        <v>365.06</v>
      </c>
      <c r="F7" s="3">
        <f t="shared" si="0"/>
        <v>1268.9499999999998</v>
      </c>
      <c r="H7" s="5">
        <f>MIN(A2:B20)</f>
        <v>107.68</v>
      </c>
      <c r="I7" s="5">
        <f>MIN(C2:C20)</f>
        <v>128.28</v>
      </c>
      <c r="J7" s="5">
        <f>MIN(D2:D20)</f>
        <v>134.88</v>
      </c>
      <c r="K7" s="5">
        <f>MIN(E2:E20)</f>
        <v>143.19999999999999</v>
      </c>
    </row>
    <row r="8" spans="1:26" ht="27.75" x14ac:dyDescent="0.35">
      <c r="A8" s="2" t="s">
        <v>7</v>
      </c>
      <c r="B8" s="3">
        <v>657.6</v>
      </c>
      <c r="C8" s="3">
        <v>657.8</v>
      </c>
      <c r="D8" s="3">
        <v>647.71</v>
      </c>
      <c r="E8" s="3">
        <v>682.57</v>
      </c>
      <c r="F8" s="3">
        <f t="shared" si="0"/>
        <v>2645.6800000000003</v>
      </c>
      <c r="H8" s="10" t="s">
        <v>27</v>
      </c>
      <c r="I8" s="10" t="s">
        <v>27</v>
      </c>
      <c r="J8" s="10" t="s">
        <v>27</v>
      </c>
      <c r="K8" s="10" t="s">
        <v>27</v>
      </c>
    </row>
    <row r="9" spans="1:26" x14ac:dyDescent="0.35">
      <c r="A9" s="2" t="s">
        <v>8</v>
      </c>
      <c r="B9" s="3">
        <v>224.52</v>
      </c>
      <c r="C9" s="3">
        <v>266.93</v>
      </c>
      <c r="D9" s="3">
        <v>254.97</v>
      </c>
      <c r="E9" s="3">
        <v>255.29</v>
      </c>
      <c r="F9" s="3">
        <f t="shared" si="0"/>
        <v>1001.71</v>
      </c>
      <c r="H9" s="5">
        <f>MAX(B2:B20)</f>
        <v>989.84</v>
      </c>
      <c r="I9" s="5">
        <f>MAX(C2:C20)</f>
        <v>1185.6300000000001</v>
      </c>
      <c r="J9" s="5">
        <f t="shared" ref="I9:K9" si="3">MAX(D2:D20)</f>
        <v>1237.23</v>
      </c>
      <c r="K9" s="5">
        <f t="shared" si="3"/>
        <v>1395.95</v>
      </c>
    </row>
    <row r="10" spans="1:26" ht="27.75" x14ac:dyDescent="0.4">
      <c r="A10" s="2" t="s">
        <v>9</v>
      </c>
      <c r="B10" s="3">
        <v>824.93</v>
      </c>
      <c r="C10" s="3">
        <v>936.65</v>
      </c>
      <c r="D10" s="3">
        <v>1056.06</v>
      </c>
      <c r="E10" s="3">
        <v>1056.42</v>
      </c>
      <c r="F10" s="3">
        <f t="shared" si="0"/>
        <v>3874.06</v>
      </c>
      <c r="H10" s="8" t="s">
        <v>35</v>
      </c>
      <c r="I10" s="8" t="s">
        <v>35</v>
      </c>
      <c r="J10" s="8" t="s">
        <v>35</v>
      </c>
      <c r="K10" s="8" t="s">
        <v>35</v>
      </c>
    </row>
    <row r="11" spans="1:26" x14ac:dyDescent="0.35">
      <c r="A11" s="2" t="s">
        <v>10</v>
      </c>
      <c r="B11" s="3">
        <v>795.5</v>
      </c>
      <c r="C11" s="3">
        <v>956.9</v>
      </c>
      <c r="D11" s="3">
        <v>921.35</v>
      </c>
      <c r="E11" s="3">
        <v>1054.51</v>
      </c>
      <c r="F11" s="3">
        <f t="shared" si="0"/>
        <v>3728.26</v>
      </c>
      <c r="H11" s="4">
        <f>COUNT(B2:B20)</f>
        <v>19</v>
      </c>
      <c r="I11" s="4">
        <f t="shared" ref="I11:K11" si="4">COUNT(C2:C20)</f>
        <v>19</v>
      </c>
      <c r="J11" s="4">
        <f t="shared" si="4"/>
        <v>19</v>
      </c>
      <c r="K11" s="4">
        <f t="shared" si="4"/>
        <v>19</v>
      </c>
    </row>
    <row r="12" spans="1:26" x14ac:dyDescent="0.35">
      <c r="A12" s="2" t="s">
        <v>11</v>
      </c>
      <c r="B12" s="3">
        <v>107.68</v>
      </c>
      <c r="C12" s="3">
        <v>128.28</v>
      </c>
      <c r="D12" s="3">
        <v>134.88</v>
      </c>
      <c r="E12" s="3">
        <v>143.19999999999999</v>
      </c>
      <c r="F12" s="3">
        <f t="shared" si="0"/>
        <v>514.04</v>
      </c>
    </row>
    <row r="13" spans="1:26" x14ac:dyDescent="0.35">
      <c r="A13" s="2" t="s">
        <v>12</v>
      </c>
      <c r="B13" s="3">
        <v>418.43</v>
      </c>
      <c r="C13" s="3">
        <v>498.88</v>
      </c>
      <c r="D13" s="3">
        <v>483.31</v>
      </c>
      <c r="E13" s="3">
        <v>483.4</v>
      </c>
      <c r="F13" s="3">
        <f t="shared" si="0"/>
        <v>1884.02</v>
      </c>
    </row>
    <row r="14" spans="1:26" x14ac:dyDescent="0.35">
      <c r="A14" s="2" t="s">
        <v>13</v>
      </c>
      <c r="B14" s="3">
        <v>302.93</v>
      </c>
      <c r="C14" s="3">
        <v>384.74</v>
      </c>
      <c r="D14" s="3">
        <v>412.33</v>
      </c>
      <c r="E14" s="3">
        <v>432.35</v>
      </c>
      <c r="F14" s="3">
        <f t="shared" si="0"/>
        <v>1532.35</v>
      </c>
    </row>
    <row r="15" spans="1:26" x14ac:dyDescent="0.35">
      <c r="A15" s="2" t="s">
        <v>14</v>
      </c>
      <c r="B15" s="3">
        <v>465.27</v>
      </c>
      <c r="C15" s="3">
        <v>568.29999999999995</v>
      </c>
      <c r="D15" s="3">
        <v>593.04</v>
      </c>
      <c r="E15" s="3">
        <v>632.91999999999996</v>
      </c>
      <c r="F15" s="3">
        <f t="shared" si="0"/>
        <v>2259.5299999999997</v>
      </c>
    </row>
    <row r="16" spans="1:26" x14ac:dyDescent="0.35">
      <c r="A16" s="2" t="s">
        <v>15</v>
      </c>
      <c r="B16" s="3">
        <v>759.78</v>
      </c>
      <c r="C16" s="3">
        <v>979.43</v>
      </c>
      <c r="D16" s="3">
        <v>1088.72</v>
      </c>
      <c r="E16" s="3">
        <v>1240.94</v>
      </c>
      <c r="F16" s="3">
        <f t="shared" si="0"/>
        <v>4068.8700000000003</v>
      </c>
    </row>
    <row r="17" spans="1:6" x14ac:dyDescent="0.35">
      <c r="A17" s="2" t="s">
        <v>16</v>
      </c>
      <c r="B17" s="3">
        <v>328.62</v>
      </c>
      <c r="C17" s="3">
        <v>373.48</v>
      </c>
      <c r="D17" s="3">
        <v>390.89</v>
      </c>
      <c r="E17" s="3">
        <v>389.97</v>
      </c>
      <c r="F17" s="3">
        <f t="shared" si="0"/>
        <v>1482.96</v>
      </c>
    </row>
    <row r="18" spans="1:6" x14ac:dyDescent="0.35">
      <c r="A18" s="2" t="s">
        <v>17</v>
      </c>
      <c r="B18" s="3">
        <v>348.6</v>
      </c>
      <c r="C18" s="3">
        <v>392.47</v>
      </c>
      <c r="D18" s="3">
        <v>455.8</v>
      </c>
      <c r="E18" s="3">
        <v>473.76</v>
      </c>
      <c r="F18" s="3">
        <f t="shared" si="0"/>
        <v>1670.63</v>
      </c>
    </row>
    <row r="19" spans="1:6" x14ac:dyDescent="0.35">
      <c r="A19" s="2" t="s">
        <v>18</v>
      </c>
      <c r="B19" s="3">
        <v>652.41999999999996</v>
      </c>
      <c r="C19" s="3">
        <v>710.1</v>
      </c>
      <c r="D19" s="3">
        <v>762.32</v>
      </c>
      <c r="E19" s="3">
        <v>793.06</v>
      </c>
      <c r="F19" s="3">
        <f t="shared" si="0"/>
        <v>2917.9</v>
      </c>
    </row>
    <row r="20" spans="1:6" x14ac:dyDescent="0.35">
      <c r="A20" s="2" t="s">
        <v>19</v>
      </c>
      <c r="B20" s="3">
        <v>683.01</v>
      </c>
      <c r="C20" s="3">
        <v>627.37</v>
      </c>
      <c r="D20" s="3">
        <v>634.04999999999995</v>
      </c>
      <c r="E20" s="3">
        <v>673.89</v>
      </c>
      <c r="F20" s="3">
        <f t="shared" si="0"/>
        <v>2618.3200000000002</v>
      </c>
    </row>
    <row r="21" spans="1:6" x14ac:dyDescent="0.35">
      <c r="F21" s="5"/>
    </row>
    <row r="22" spans="1:6" x14ac:dyDescent="0.35">
      <c r="B22" s="5"/>
      <c r="C22" s="5"/>
      <c r="D22" s="5"/>
      <c r="E22" s="5"/>
    </row>
    <row r="23" spans="1:6" x14ac:dyDescent="0.35">
      <c r="B23" s="5"/>
      <c r="C23" s="5"/>
      <c r="D23" s="5"/>
      <c r="E23" s="5"/>
      <c r="F23" s="5"/>
    </row>
    <row r="24" spans="1:6" x14ac:dyDescent="0.35">
      <c r="B24" s="5"/>
      <c r="C24" s="5"/>
      <c r="D24" s="5"/>
      <c r="E24" s="5"/>
      <c r="F24" s="5"/>
    </row>
    <row r="25" spans="1:6" x14ac:dyDescent="0.35">
      <c r="B25" s="5"/>
      <c r="C25" s="5"/>
      <c r="D25" s="5"/>
      <c r="E25" s="5"/>
      <c r="F25" s="5"/>
    </row>
    <row r="30" spans="1:6" x14ac:dyDescent="0.35">
      <c r="B30" s="5"/>
    </row>
    <row r="31" spans="1:6" x14ac:dyDescent="0.35">
      <c r="B31" s="5"/>
    </row>
    <row r="33" s="4" customFormat="1" x14ac:dyDescent="0.35"/>
    <row r="34" s="4" customFormat="1" x14ac:dyDescent="0.35"/>
  </sheetData>
  <printOptions horizontalCentered="1" gridLines="1"/>
  <pageMargins left="0.7" right="0.7" top="0.75" bottom="0.75" header="0.3" footer="0.3"/>
  <pageSetup scale="37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AA75A25CE59043A67386BF7E6D4978" ma:contentTypeVersion="15" ma:contentTypeDescription="Create a new document." ma:contentTypeScope="" ma:versionID="cfe10d77a10c32c8bc569c23b20c2b72">
  <xsd:schema xmlns:xsd="http://www.w3.org/2001/XMLSchema" xmlns:xs="http://www.w3.org/2001/XMLSchema" xmlns:p="http://schemas.microsoft.com/office/2006/metadata/properties" xmlns:ns1="http://schemas.microsoft.com/sharepoint/v3" xmlns:ns2="031cf352-67f5-42fe-8842-0cde2afd6b7a" xmlns:ns3="f3d6f8ab-26ab-4174-9dfe-d85f4f4a895a" targetNamespace="http://schemas.microsoft.com/office/2006/metadata/properties" ma:root="true" ma:fieldsID="5c65ec231b442b78543c40c4b18f6b4d" ns1:_="" ns2:_="" ns3:_="">
    <xsd:import namespace="http://schemas.microsoft.com/sharepoint/v3"/>
    <xsd:import namespace="031cf352-67f5-42fe-8842-0cde2afd6b7a"/>
    <xsd:import namespace="f3d6f8ab-26ab-4174-9dfe-d85f4f4a8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cf352-67f5-42fe-8842-0cde2afd6b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2a3349-1416-4b77-a1f7-83895db0e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6f8ab-26ab-4174-9dfe-d85f4f4a895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174b92c-220f-4161-bbbe-b35b07c7f679}" ma:internalName="TaxCatchAll" ma:showField="CatchAllData" ma:web="f3d6f8ab-26ab-4174-9dfe-d85f4f4a89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3d6f8ab-26ab-4174-9dfe-d85f4f4a895a" xsi:nil="true"/>
    <lcf76f155ced4ddcb4097134ff3c332f xmlns="031cf352-67f5-42fe-8842-0cde2afd6b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DBF56-2577-46B4-9973-A01FDA6F51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C6732C-44E6-4EF3-AB89-EFC5D0AB72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1cf352-67f5-42fe-8842-0cde2afd6b7a"/>
    <ds:schemaRef ds:uri="f3d6f8ab-26ab-4174-9dfe-d85f4f4a8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049585-1EDF-4DC9-BACE-5428CDB633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3d6f8ab-26ab-4174-9dfe-d85f4f4a895a"/>
    <ds:schemaRef ds:uri="031cf352-67f5-42fe-8842-0cde2afd6b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data worksheet</vt:lpstr>
      <vt:lpstr>'sales data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Jordan's River</dc:creator>
  <cp:lastModifiedBy>jordan worrobah</cp:lastModifiedBy>
  <dcterms:created xsi:type="dcterms:W3CDTF">2024-04-04T01:05:15Z</dcterms:created>
  <dcterms:modified xsi:type="dcterms:W3CDTF">2026-07-06T14:17:23Z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0x0101008EAA75A25CE59043A67386BF7E6D4978</vt:lpwstr>
  </property>
</Properties>
</file>